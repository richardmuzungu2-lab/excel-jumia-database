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D:\Administrator\Documents\"/>
    </mc:Choice>
  </mc:AlternateContent>
  <xr:revisionPtr revIDLastSave="0" documentId="13_ncr:2001_{40CF44BF-937C-4C33-8E6B-EA7214DAEEBE}" xr6:coauthVersionLast="47" xr6:coauthVersionMax="47" xr10:uidLastSave="{00000000-0000-0000-0000-000000000000}"/>
  <bookViews>
    <workbookView xWindow="-110" yWindow="-110" windowWidth="19420" windowHeight="10300" tabRatio="808" firstSheet="7" activeTab="11" xr2:uid="{EE1570B6-1076-4554-98BB-1AFE510710A3}"/>
  </bookViews>
  <sheets>
    <sheet name="Q3" sheetId="4" r:id="rId1"/>
    <sheet name="Q4" sheetId="5" r:id="rId2"/>
    <sheet name="Q1" sheetId="7" r:id="rId3"/>
    <sheet name="Q2" sheetId="8" r:id="rId4"/>
    <sheet name="Highest discount" sheetId="9" r:id="rId5"/>
    <sheet name="products with most reviews" sheetId="11" r:id="rId6"/>
    <sheet name="lowest rated" sheetId="13" r:id="rId7"/>
    <sheet name="Sheet3" sheetId="17" r:id="rId8"/>
    <sheet name="Sheet6" sheetId="20" r:id="rId9"/>
    <sheet name="Sheet5" sheetId="19" r:id="rId10"/>
    <sheet name="Excel_jumia (ASSIGNMENT)" sheetId="1" r:id="rId11"/>
    <sheet name="Dashboard" sheetId="16" r:id="rId12"/>
  </sheets>
  <definedNames>
    <definedName name="_xlnm._FilterDatabase" localSheetId="10" hidden="1">'Excel_jumia (ASSIGNMENT)'!$B$1:$B$116</definedName>
    <definedName name="Slicer_Current_price">#N/A</definedName>
    <definedName name="Slicer_Discount_Category">#N/A</definedName>
    <definedName name="Slicer_Discount_Category1">#N/A</definedName>
    <definedName name="Slicer_Rating_Category">#N/A</definedName>
  </definedNames>
  <calcPr calcId="191029"/>
  <pivotCaches>
    <pivotCache cacheId="14" r:id="rId13"/>
    <pivotCache cacheId="30" r:id="rId14"/>
  </pivotCaches>
  <fileRecoveryPr repairLoad="1"/>
  <extLst>
    <ext xmlns:x14="http://schemas.microsoft.com/office/spreadsheetml/2009/9/main" uri="{BBE1A952-AA13-448e-AADC-164F8A28A991}">
      <x14:slicerCaches>
        <x14:slicerCache r:id="rId15"/>
        <x14:slicerCache r:id="rId16"/>
        <x14:slicerCache r:id="rId17"/>
        <x14:slicerCache r:id="rId1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116" i="1" l="1"/>
  <c r="F116" i="1"/>
  <c r="I7" i="1"/>
  <c r="D115" i="1"/>
  <c r="F115" i="1"/>
  <c r="C115" i="1"/>
  <c r="C99" i="1" s="1"/>
  <c r="B115" i="1"/>
  <c r="B99" i="1" s="1"/>
  <c r="F99" i="1"/>
  <c r="I34" i="1"/>
  <c r="I103" i="1"/>
  <c r="I79" i="1"/>
  <c r="I88" i="1"/>
  <c r="I110" i="1"/>
  <c r="I106" i="1"/>
  <c r="I54" i="1"/>
  <c r="I68" i="1"/>
  <c r="I80" i="1"/>
  <c r="I43" i="1"/>
  <c r="I55" i="1"/>
  <c r="I35" i="1"/>
  <c r="I31" i="1"/>
  <c r="I86" i="1"/>
  <c r="I20" i="1"/>
  <c r="I8" i="1"/>
  <c r="I97" i="1"/>
  <c r="I111" i="1"/>
  <c r="I57" i="1"/>
  <c r="I2" i="1"/>
  <c r="I93" i="1"/>
  <c r="I48" i="1"/>
  <c r="I82" i="1"/>
  <c r="I98" i="1"/>
  <c r="I25" i="1"/>
  <c r="I109" i="1"/>
  <c r="I70" i="1"/>
  <c r="I89" i="1"/>
  <c r="I104" i="1"/>
  <c r="I53" i="1"/>
  <c r="I92" i="1"/>
  <c r="I95" i="1"/>
  <c r="I96" i="1"/>
  <c r="I81" i="1"/>
  <c r="I5" i="1"/>
  <c r="I23" i="1"/>
  <c r="I91" i="1"/>
  <c r="I107" i="1"/>
  <c r="I29" i="1"/>
  <c r="I13" i="1"/>
  <c r="I36" i="1"/>
  <c r="I101" i="1"/>
  <c r="I58" i="1"/>
  <c r="I63" i="1"/>
  <c r="I39" i="1"/>
  <c r="I65" i="1"/>
  <c r="I10" i="1"/>
  <c r="I16" i="1"/>
  <c r="I84" i="1"/>
  <c r="I17" i="1"/>
  <c r="I72" i="1"/>
  <c r="I44" i="1"/>
  <c r="I30" i="1"/>
  <c r="I41" i="1"/>
  <c r="I45" i="1"/>
  <c r="I108" i="1"/>
  <c r="I24" i="1"/>
  <c r="I102" i="1"/>
  <c r="I28" i="1"/>
  <c r="I100" i="1"/>
  <c r="I26" i="1"/>
  <c r="I18" i="1"/>
  <c r="I67" i="1"/>
  <c r="I56" i="1"/>
  <c r="I59" i="1"/>
  <c r="I114" i="1"/>
  <c r="I22" i="1"/>
  <c r="I105" i="1"/>
  <c r="I21" i="1"/>
  <c r="I32" i="1"/>
  <c r="I51" i="1"/>
  <c r="I78" i="1"/>
  <c r="I42" i="1"/>
  <c r="I40" i="1"/>
  <c r="I87" i="1"/>
  <c r="I12" i="1"/>
  <c r="I62" i="1"/>
  <c r="I52" i="1"/>
  <c r="I73" i="1"/>
  <c r="I85" i="1"/>
  <c r="I19" i="1"/>
  <c r="I6" i="1"/>
  <c r="I75" i="1"/>
  <c r="I15" i="1"/>
  <c r="I46" i="1"/>
  <c r="I38" i="1"/>
  <c r="I76" i="1"/>
  <c r="I37" i="1"/>
  <c r="I47" i="1"/>
  <c r="I69" i="1"/>
  <c r="I3" i="1"/>
  <c r="I49" i="1"/>
  <c r="I66" i="1"/>
  <c r="I77" i="1"/>
  <c r="I74" i="1"/>
  <c r="I14" i="1"/>
  <c r="I112" i="1"/>
  <c r="I33" i="1"/>
  <c r="I60" i="1"/>
  <c r="I113" i="1"/>
  <c r="I71" i="1"/>
  <c r="I94" i="1"/>
  <c r="I9" i="1"/>
  <c r="I61" i="1"/>
  <c r="I64" i="1"/>
  <c r="I83" i="1"/>
  <c r="I90" i="1"/>
  <c r="I11" i="1"/>
  <c r="I27" i="1"/>
  <c r="I4" i="1"/>
  <c r="I50" i="1"/>
  <c r="H34" i="1"/>
  <c r="H103" i="1"/>
  <c r="H79" i="1"/>
  <c r="H88" i="1"/>
  <c r="H110" i="1"/>
  <c r="H106" i="1"/>
  <c r="H54" i="1"/>
  <c r="H68" i="1"/>
  <c r="H80" i="1"/>
  <c r="H43" i="1"/>
  <c r="H55" i="1"/>
  <c r="H35" i="1"/>
  <c r="H31" i="1"/>
  <c r="H86" i="1"/>
  <c r="H20" i="1"/>
  <c r="H8" i="1"/>
  <c r="H97" i="1"/>
  <c r="H111" i="1"/>
  <c r="H57" i="1"/>
  <c r="H2" i="1"/>
  <c r="H93" i="1"/>
  <c r="H48" i="1"/>
  <c r="H82" i="1"/>
  <c r="H98" i="1"/>
  <c r="H25" i="1"/>
  <c r="H109" i="1"/>
  <c r="H70" i="1"/>
  <c r="H89" i="1"/>
  <c r="H104" i="1"/>
  <c r="H7" i="1"/>
  <c r="H53" i="1"/>
  <c r="H92" i="1"/>
  <c r="H95" i="1"/>
  <c r="H96" i="1"/>
  <c r="H81" i="1"/>
  <c r="H5" i="1"/>
  <c r="H23" i="1"/>
  <c r="H91" i="1"/>
  <c r="H107" i="1"/>
  <c r="H29" i="1"/>
  <c r="H13" i="1"/>
  <c r="H36" i="1"/>
  <c r="H101" i="1"/>
  <c r="H58" i="1"/>
  <c r="H63" i="1"/>
  <c r="H39" i="1"/>
  <c r="H65" i="1"/>
  <c r="H10" i="1"/>
  <c r="H16" i="1"/>
  <c r="H84" i="1"/>
  <c r="H17" i="1"/>
  <c r="H72" i="1"/>
  <c r="H44" i="1"/>
  <c r="H30" i="1"/>
  <c r="H41" i="1"/>
  <c r="H45" i="1"/>
  <c r="H108" i="1"/>
  <c r="H24" i="1"/>
  <c r="H102" i="1"/>
  <c r="H28" i="1"/>
  <c r="H100" i="1"/>
  <c r="H26" i="1"/>
  <c r="H18" i="1"/>
  <c r="H67" i="1"/>
  <c r="H56" i="1"/>
  <c r="H59" i="1"/>
  <c r="H114" i="1"/>
  <c r="H22" i="1"/>
  <c r="H105" i="1"/>
  <c r="H21" i="1"/>
  <c r="H32" i="1"/>
  <c r="H51" i="1"/>
  <c r="H78" i="1"/>
  <c r="H42" i="1"/>
  <c r="H40" i="1"/>
  <c r="H87" i="1"/>
  <c r="H12" i="1"/>
  <c r="H62" i="1"/>
  <c r="H52" i="1"/>
  <c r="H73" i="1"/>
  <c r="H85" i="1"/>
  <c r="H19" i="1"/>
  <c r="H6" i="1"/>
  <c r="H75" i="1"/>
  <c r="H15" i="1"/>
  <c r="H46" i="1"/>
  <c r="H38" i="1"/>
  <c r="H76" i="1"/>
  <c r="H37" i="1"/>
  <c r="H47" i="1"/>
  <c r="H69" i="1"/>
  <c r="H3" i="1"/>
  <c r="H49" i="1"/>
  <c r="H66" i="1"/>
  <c r="H77" i="1"/>
  <c r="H74" i="1"/>
  <c r="H14" i="1"/>
  <c r="H112" i="1"/>
  <c r="H33" i="1"/>
  <c r="H60" i="1"/>
  <c r="H113" i="1"/>
  <c r="H71" i="1"/>
  <c r="H94" i="1"/>
  <c r="H9" i="1"/>
  <c r="H61" i="1"/>
  <c r="H64" i="1"/>
  <c r="H83" i="1"/>
  <c r="H90" i="1"/>
  <c r="H11" i="1"/>
  <c r="H27" i="1"/>
  <c r="H4" i="1"/>
  <c r="H50" i="1"/>
  <c r="G34" i="1"/>
  <c r="G103" i="1"/>
  <c r="G79" i="1"/>
  <c r="G88" i="1"/>
  <c r="G110" i="1"/>
  <c r="G106" i="1"/>
  <c r="G54" i="1"/>
  <c r="G68" i="1"/>
  <c r="G80" i="1"/>
  <c r="G43" i="1"/>
  <c r="G55" i="1"/>
  <c r="G35" i="1"/>
  <c r="G31" i="1"/>
  <c r="G86" i="1"/>
  <c r="G20" i="1"/>
  <c r="G8" i="1"/>
  <c r="G97" i="1"/>
  <c r="G111" i="1"/>
  <c r="G57" i="1"/>
  <c r="G2" i="1"/>
  <c r="G93" i="1"/>
  <c r="G48" i="1"/>
  <c r="G82" i="1"/>
  <c r="G98" i="1"/>
  <c r="G25" i="1"/>
  <c r="G109" i="1"/>
  <c r="G70" i="1"/>
  <c r="G89" i="1"/>
  <c r="G104" i="1"/>
  <c r="G7" i="1"/>
  <c r="G53" i="1"/>
  <c r="G92" i="1"/>
  <c r="G95" i="1"/>
  <c r="G96" i="1"/>
  <c r="G81" i="1"/>
  <c r="G5" i="1"/>
  <c r="G23" i="1"/>
  <c r="G91" i="1"/>
  <c r="G107" i="1"/>
  <c r="G29" i="1"/>
  <c r="G13" i="1"/>
  <c r="G36" i="1"/>
  <c r="G101" i="1"/>
  <c r="G58" i="1"/>
  <c r="G63" i="1"/>
  <c r="G39" i="1"/>
  <c r="G65" i="1"/>
  <c r="G10" i="1"/>
  <c r="G16" i="1"/>
  <c r="G84" i="1"/>
  <c r="G17" i="1"/>
  <c r="G72" i="1"/>
  <c r="G44" i="1"/>
  <c r="G30" i="1"/>
  <c r="G41" i="1"/>
  <c r="G45" i="1"/>
  <c r="G108" i="1"/>
  <c r="G24" i="1"/>
  <c r="G102" i="1"/>
  <c r="G28" i="1"/>
  <c r="G100" i="1"/>
  <c r="G26" i="1"/>
  <c r="G18" i="1"/>
  <c r="G67" i="1"/>
  <c r="G56" i="1"/>
  <c r="G59" i="1"/>
  <c r="G114" i="1"/>
  <c r="G22" i="1"/>
  <c r="G105" i="1"/>
  <c r="G21" i="1"/>
  <c r="G32" i="1"/>
  <c r="G51" i="1"/>
  <c r="G78" i="1"/>
  <c r="G42" i="1"/>
  <c r="G40" i="1"/>
  <c r="G87" i="1"/>
  <c r="G12" i="1"/>
  <c r="G62" i="1"/>
  <c r="G52" i="1"/>
  <c r="G73" i="1"/>
  <c r="G85" i="1"/>
  <c r="G19" i="1"/>
  <c r="G6" i="1"/>
  <c r="G75" i="1"/>
  <c r="G15" i="1"/>
  <c r="G46" i="1"/>
  <c r="G38" i="1"/>
  <c r="G76" i="1"/>
  <c r="G37" i="1"/>
  <c r="G47" i="1"/>
  <c r="G69" i="1"/>
  <c r="G3" i="1"/>
  <c r="G49" i="1"/>
  <c r="G66" i="1"/>
  <c r="G77" i="1"/>
  <c r="G74" i="1"/>
  <c r="G14" i="1"/>
  <c r="G112" i="1"/>
  <c r="G33" i="1"/>
  <c r="G60" i="1"/>
  <c r="G113" i="1"/>
  <c r="G71" i="1"/>
  <c r="G94" i="1"/>
  <c r="G9" i="1"/>
  <c r="G61" i="1"/>
  <c r="G64" i="1"/>
  <c r="G83" i="1"/>
  <c r="G90" i="1"/>
  <c r="G11" i="1"/>
  <c r="G27" i="1"/>
  <c r="G4" i="1"/>
  <c r="G50" i="1"/>
  <c r="D99" i="1" l="1"/>
  <c r="D116" i="1" s="1"/>
</calcChain>
</file>

<file path=xl/sharedStrings.xml><?xml version="1.0" encoding="utf-8"?>
<sst xmlns="http://schemas.openxmlformats.org/spreadsheetml/2006/main" count="347" uniqueCount="138">
  <si>
    <t>Product</t>
  </si>
  <si>
    <t>Current price</t>
  </si>
  <si>
    <t>old price</t>
  </si>
  <si>
    <t>Ratingd</t>
  </si>
  <si>
    <t>115  Piece Set Of Multifunctional Precision Screwdrivers</t>
  </si>
  <si>
    <t>Metal Decorative Hooks Key Hangers Entryway Wall Hooks Towel Hooks - Home</t>
  </si>
  <si>
    <t>Portable Mini Cordless Car Vacuum Cleaner - Blue</t>
  </si>
  <si>
    <t>Weighing Scale Digital Bathroom Body Fat Scale USB-Black</t>
  </si>
  <si>
    <t>Portable Home Small Air Humidifier 3-Speed Fan - Green</t>
  </si>
  <si>
    <t>220V 60W Electric Soldering Iron Kits With Tools, Tips, And Multimeter</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</si>
  <si>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</si>
  <si>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</si>
  <si>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</si>
  <si>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</si>
  <si>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</si>
  <si>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</si>
  <si>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</si>
  <si>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</si>
  <si>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</si>
  <si>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</si>
  <si>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</si>
  <si>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</si>
  <si>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</si>
  <si>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</si>
  <si>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</si>
  <si>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</si>
  <si>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</si>
  <si>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</si>
  <si>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</si>
  <si>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</si>
  <si>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</si>
  <si>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</si>
  <si>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</si>
  <si>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</si>
  <si>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</si>
  <si>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</si>
  <si>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</si>
  <si>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</si>
  <si>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</si>
  <si>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</si>
  <si>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</si>
  <si>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</si>
  <si>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</si>
  <si>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</si>
  <si>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</si>
  <si>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</si>
  <si>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</si>
  <si>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</si>
  <si>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</si>
  <si>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</si>
  <si>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</si>
  <si>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</si>
  <si>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</si>
  <si>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</si>
  <si>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</si>
  <si>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</si>
  <si>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</si>
  <si>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</si>
  <si>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</si>
  <si>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</si>
  <si>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</si>
  <si>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</si>
  <si>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</si>
  <si>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</si>
  <si>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</si>
  <si>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</si>
  <si>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</si>
  <si>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</si>
  <si>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</si>
  <si>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</si>
  <si>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</si>
  <si>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</si>
  <si>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</si>
  <si>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</si>
  <si>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</si>
  <si>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</si>
  <si>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</si>
  <si>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</si>
  <si>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</si>
  <si>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</si>
  <si>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</si>
  <si>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</si>
  <si>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</si>
  <si>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</si>
  <si>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</si>
  <si>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</si>
  <si>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</si>
  <si>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</si>
  <si>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</si>
  <si>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</si>
  <si>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</si>
  <si>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</si>
  <si>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</si>
  <si>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</si>
  <si>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</si>
  <si>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</si>
  <si>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</si>
  <si>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</si>
  <si>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</si>
  <si>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</si>
  <si>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</si>
  <si>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</si>
  <si>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</si>
  <si>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</si>
  <si>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</si>
  <si>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</si>
  <si>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</si>
  <si>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</si>
  <si>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</si>
  <si>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</si>
  <si>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</si>
  <si>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</si>
  <si>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</si>
  <si>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Not provided</t>
  </si>
  <si>
    <t>Reviewed</t>
  </si>
  <si>
    <t>Discount Amount</t>
  </si>
  <si>
    <t>Rating Category</t>
  </si>
  <si>
    <t>Discount Category</t>
  </si>
  <si>
    <t>Discount Percentage</t>
  </si>
  <si>
    <t>Row Labels</t>
  </si>
  <si>
    <t>(blank)</t>
  </si>
  <si>
    <t>Grand Total</t>
  </si>
  <si>
    <t>High</t>
  </si>
  <si>
    <t>Average of Discount Amount</t>
  </si>
  <si>
    <t>Sum of Reviewed</t>
  </si>
  <si>
    <t>Average of Ratingd</t>
  </si>
  <si>
    <t>Average of Discount Percentage</t>
  </si>
  <si>
    <t>Count of Product</t>
  </si>
  <si>
    <t xml:space="preserve"> </t>
  </si>
  <si>
    <t>Average</t>
  </si>
  <si>
    <t>Excellent</t>
  </si>
  <si>
    <t>Poor</t>
  </si>
  <si>
    <t>Average of Current price</t>
  </si>
  <si>
    <t>Average of old price</t>
  </si>
  <si>
    <t>Max of Current price</t>
  </si>
  <si>
    <t>Average of Reviewed</t>
  </si>
  <si>
    <t xml:space="preserve">       </t>
  </si>
  <si>
    <t xml:space="preserve">  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</si>
</sst>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Ksh&quot;#,##0.0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4"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1.xml"/><Relationship Id="rId18" Type="http://schemas.microsoft.com/office/2007/relationships/slicerCache" Target="slicerCaches/slicerCache4.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microsoft.com/office/2007/relationships/slicerCache" Target="slicerCaches/slicerCache3.xml"/><Relationship Id="rId2" Type="http://schemas.openxmlformats.org/officeDocument/2006/relationships/worksheet" Target="worksheets/sheet2.xml"/><Relationship Id="rId16" Type="http://schemas.microsoft.com/office/2007/relationships/slicerCache" Target="slicerCaches/slicerCache2.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microsoft.com/office/2007/relationships/slicerCache" Target="slicerCaches/slicerCache1.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2.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dashboard.xlsx]Q4!PivotTable2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distributed across rating</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'Q4'!$B$3</c:f>
              <c:strCache>
                <c:ptCount val="1"/>
                <c:pt idx="0">
                  <c:v>Total</c:v>
                </c:pt>
              </c:strCache>
            </c:strRef>
          </c:tx>
          <c:spPr>
            <a:solidFill>
              <a:schemeClr val="accent1"/>
            </a:solidFill>
            <a:ln>
              <a:noFill/>
            </a:ln>
            <a:effectLst/>
          </c:spPr>
          <c:invertIfNegative val="0"/>
          <c:cat>
            <c:strRef>
              <c:f>'Q4'!$A$4:$A$7</c:f>
              <c:strCache>
                <c:ptCount val="3"/>
                <c:pt idx="0">
                  <c:v>Average</c:v>
                </c:pt>
                <c:pt idx="1">
                  <c:v>Excellent</c:v>
                </c:pt>
                <c:pt idx="2">
                  <c:v>Poor</c:v>
                </c:pt>
              </c:strCache>
            </c:strRef>
          </c:cat>
          <c:val>
            <c:numRef>
              <c:f>'Q4'!$B$4:$B$7</c:f>
              <c:numCache>
                <c:formatCode>General</c:formatCode>
                <c:ptCount val="3"/>
                <c:pt idx="0">
                  <c:v>11</c:v>
                </c:pt>
                <c:pt idx="1">
                  <c:v>9</c:v>
                </c:pt>
                <c:pt idx="2">
                  <c:v>10</c:v>
                </c:pt>
              </c:numCache>
            </c:numRef>
          </c:val>
          <c:extLst>
            <c:ext xmlns:c16="http://schemas.microsoft.com/office/drawing/2014/chart" uri="{C3380CC4-5D6E-409C-BE32-E72D297353CC}">
              <c16:uniqueId val="{00000000-15E6-4DEF-9BD4-6A964633E46F}"/>
            </c:ext>
          </c:extLst>
        </c:ser>
        <c:dLbls>
          <c:showLegendKey val="0"/>
          <c:showVal val="0"/>
          <c:showCatName val="0"/>
          <c:showSerName val="0"/>
          <c:showPercent val="0"/>
          <c:showBubbleSize val="0"/>
        </c:dLbls>
        <c:gapWidth val="182"/>
        <c:axId val="970709711"/>
        <c:axId val="970717391"/>
      </c:barChart>
      <c:catAx>
        <c:axId val="970709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17391"/>
        <c:crosses val="autoZero"/>
        <c:auto val="1"/>
        <c:lblAlgn val="ctr"/>
        <c:lblOffset val="100"/>
        <c:noMultiLvlLbl val="0"/>
      </c:catAx>
      <c:valAx>
        <c:axId val="970717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09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dashboard.xlsx]Highest discount!PivotTable5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discount amount and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'Highest discount'!$B$3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discount'!$A$4:$A$10</c:f>
              <c:strCache>
                <c:ptCount val="6"/>
                <c:pt idx="0">
                  <c:v>(blank)</c:v>
                </c:pt>
                <c:pt idx="1">
                  <c:v>Thickening Multipurpose Non Stick Easy To Clean Heat Resistant Spoon Pad</c:v>
                </c:pt>
                <c:pt idx="2">
                  <c:v>Shower Cap Wide Elastic Band Cover Reusable Bashroom Cap</c:v>
                </c:pt>
                <c:pt idx="3">
                  <c:v>Portable Soap Dispenser Kitchen Detergent Press Box Kitchen Tools</c:v>
                </c:pt>
                <c:pt idx="4">
                  <c:v>24 Grid Wall-mounted Sundries Organiser Fabric Closet Bag Storage Rack</c:v>
                </c:pt>
                <c:pt idx="5">
                  <c:v>2 Pairs Cowhide Split Leather Work Gloves.32â„‰ Or Above Welding Gloves</c:v>
                </c:pt>
              </c:strCache>
            </c:strRef>
          </c:cat>
          <c:val>
            <c:numRef>
              <c:f>'Highest discount'!$B$4:$B$10</c:f>
              <c:numCache>
                <c:formatCode>General</c:formatCode>
                <c:ptCount val="6"/>
                <c:pt idx="1">
                  <c:v>31</c:v>
                </c:pt>
                <c:pt idx="2">
                  <c:v>37</c:v>
                </c:pt>
                <c:pt idx="3">
                  <c:v>37</c:v>
                </c:pt>
                <c:pt idx="4">
                  <c:v>24</c:v>
                </c:pt>
                <c:pt idx="5">
                  <c:v>33</c:v>
                </c:pt>
              </c:numCache>
            </c:numRef>
          </c:val>
          <c:extLst>
            <c:ext xmlns:c16="http://schemas.microsoft.com/office/drawing/2014/chart" uri="{C3380CC4-5D6E-409C-BE32-E72D297353CC}">
              <c16:uniqueId val="{00000000-9177-48FE-AF68-860E7DA592D6}"/>
            </c:ext>
          </c:extLst>
        </c:ser>
        <c:dLbls>
          <c:showLegendKey val="0"/>
          <c:showVal val="1"/>
          <c:showCatName val="0"/>
          <c:showSerName val="0"/>
          <c:showPercent val="0"/>
          <c:showBubbleSize val="0"/>
        </c:dLbls>
        <c:gapWidth val="219"/>
        <c:overlap val="100"/>
        <c:axId val="970691471"/>
        <c:axId val="970691951"/>
      </c:barChart>
      <c:catAx>
        <c:axId val="9706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91951"/>
        <c:crosses val="autoZero"/>
        <c:auto val="1"/>
        <c:lblAlgn val="ctr"/>
        <c:lblOffset val="100"/>
        <c:noMultiLvlLbl val="0"/>
      </c:catAx>
      <c:valAx>
        <c:axId val="97069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9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dashboard.xlsx]products with most reviews!PivotTable6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with most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 with most reviews'!$B$3</c:f>
              <c:strCache>
                <c:ptCount val="1"/>
                <c:pt idx="0">
                  <c:v>Total</c:v>
                </c:pt>
              </c:strCache>
            </c:strRef>
          </c:tx>
          <c:spPr>
            <a:solidFill>
              <a:schemeClr val="accent1"/>
            </a:solidFill>
            <a:ln>
              <a:noFill/>
            </a:ln>
            <a:effectLst/>
          </c:spPr>
          <c:invertIfNegative val="0"/>
          <c:cat>
            <c:strRef>
              <c:f>'products with most reviews'!$A$4:$A$9</c:f>
              <c:strCache>
                <c:ptCount val="5"/>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Electronic Digital Display Vernier Caliper</c:v>
                </c:pt>
              </c:strCache>
            </c:strRef>
          </c:cat>
          <c:val>
            <c:numRef>
              <c:f>'products with most reviews'!$B$4:$B$9</c:f>
              <c:numCache>
                <c:formatCode>General</c:formatCode>
                <c:ptCount val="5"/>
                <c:pt idx="0">
                  <c:v>39</c:v>
                </c:pt>
                <c:pt idx="1">
                  <c:v>69</c:v>
                </c:pt>
                <c:pt idx="2">
                  <c:v>55</c:v>
                </c:pt>
                <c:pt idx="3">
                  <c:v>44</c:v>
                </c:pt>
                <c:pt idx="4">
                  <c:v>49</c:v>
                </c:pt>
              </c:numCache>
            </c:numRef>
          </c:val>
          <c:extLst>
            <c:ext xmlns:c16="http://schemas.microsoft.com/office/drawing/2014/chart" uri="{C3380CC4-5D6E-409C-BE32-E72D297353CC}">
              <c16:uniqueId val="{00000000-873C-4C94-B4BF-1CB3ABC1F2BF}"/>
            </c:ext>
          </c:extLst>
        </c:ser>
        <c:dLbls>
          <c:showLegendKey val="0"/>
          <c:showVal val="0"/>
          <c:showCatName val="0"/>
          <c:showSerName val="0"/>
          <c:showPercent val="0"/>
          <c:showBubbleSize val="0"/>
        </c:dLbls>
        <c:gapWidth val="182"/>
        <c:axId val="970721711"/>
        <c:axId val="970722191"/>
      </c:barChart>
      <c:catAx>
        <c:axId val="97072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22191"/>
        <c:crosses val="autoZero"/>
        <c:auto val="1"/>
        <c:lblAlgn val="ctr"/>
        <c:lblOffset val="100"/>
        <c:noMultiLvlLbl val="0"/>
      </c:catAx>
      <c:valAx>
        <c:axId val="970722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2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dashboard.xlsx]lowest rated!PivotTable10</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'lowest rated'!$B$3</c:f>
              <c:strCache>
                <c:ptCount val="1"/>
                <c:pt idx="0">
                  <c:v>Total</c:v>
                </c:pt>
              </c:strCache>
            </c:strRef>
          </c:tx>
          <c:spPr>
            <a:solidFill>
              <a:schemeClr val="accent1"/>
            </a:solidFill>
            <a:ln>
              <a:noFill/>
            </a:ln>
            <a:effectLst/>
          </c:spPr>
          <c:invertIfNegative val="0"/>
          <c:cat>
            <c:strRef>
              <c:f>'lowest rated'!$A$4:$A$9</c:f>
              <c:strCache>
                <c:ptCount val="5"/>
                <c:pt idx="0">
                  <c:v>5-PCS Stainless Steel Cooking Pot Set With Steamed Slices</c:v>
                </c:pt>
                <c:pt idx="1">
                  <c:v>7-piece Set Of Storage Bags, Travel Storage Bags, Shoe Bags</c:v>
                </c:pt>
                <c:pt idx="2">
                  <c:v>Artificial Potted Flowers Room Decorative Flowers (2 Pieces)</c:v>
                </c:pt>
                <c:pt idx="3">
                  <c:v>Electric LED UV Mosquito Killer Lamp, Outdoor/Indoor Fly Killer Trap Light -USB</c:v>
                </c:pt>
                <c:pt idx="4">
                  <c:v>Wall-mounted Sticker Punch-free Plug Fixer</c:v>
                </c:pt>
              </c:strCache>
            </c:strRef>
          </c:cat>
          <c:val>
            <c:numRef>
              <c:f>'lowest rated'!$B$4:$B$9</c:f>
              <c:numCache>
                <c:formatCode>General</c:formatCode>
                <c:ptCount val="5"/>
                <c:pt idx="0">
                  <c:v>2.1</c:v>
                </c:pt>
                <c:pt idx="1">
                  <c:v>2.2000000000000002</c:v>
                </c:pt>
                <c:pt idx="2">
                  <c:v>2.2000000000000002</c:v>
                </c:pt>
                <c:pt idx="3">
                  <c:v>2.1</c:v>
                </c:pt>
                <c:pt idx="4">
                  <c:v>2</c:v>
                </c:pt>
              </c:numCache>
            </c:numRef>
          </c:val>
          <c:extLst>
            <c:ext xmlns:c16="http://schemas.microsoft.com/office/drawing/2014/chart" uri="{C3380CC4-5D6E-409C-BE32-E72D297353CC}">
              <c16:uniqueId val="{00000000-5491-4918-BAFD-D8DB2EB43A10}"/>
            </c:ext>
          </c:extLst>
        </c:ser>
        <c:dLbls>
          <c:showLegendKey val="0"/>
          <c:showVal val="0"/>
          <c:showCatName val="0"/>
          <c:showSerName val="0"/>
          <c:showPercent val="0"/>
          <c:showBubbleSize val="0"/>
        </c:dLbls>
        <c:gapWidth val="182"/>
        <c:axId val="970705871"/>
        <c:axId val="970705391"/>
      </c:barChart>
      <c:catAx>
        <c:axId val="9707058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05391"/>
        <c:crosses val="autoZero"/>
        <c:auto val="1"/>
        <c:lblAlgn val="ctr"/>
        <c:lblOffset val="100"/>
        <c:noMultiLvlLbl val="0"/>
      </c:catAx>
      <c:valAx>
        <c:axId val="9707053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058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dashboard.xlsx]products with most reviews!PivotTable6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a:t>
            </a:r>
            <a:r>
              <a:rPr lang="en-US" baseline="0"/>
              <a:t> with most reviews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'products with most reviews'!$B$3</c:f>
              <c:strCache>
                <c:ptCount val="1"/>
                <c:pt idx="0">
                  <c:v>Total</c:v>
                </c:pt>
              </c:strCache>
            </c:strRef>
          </c:tx>
          <c:spPr>
            <a:solidFill>
              <a:schemeClr val="accent1"/>
            </a:solidFill>
            <a:ln>
              <a:noFill/>
            </a:ln>
            <a:effectLst/>
          </c:spPr>
          <c:invertIfNegative val="0"/>
          <c:cat>
            <c:strRef>
              <c:f>'products with most reviews'!$A$4:$A$9</c:f>
              <c:strCache>
                <c:ptCount val="5"/>
                <c:pt idx="0">
                  <c:v>100 Pcs Crochet Hook Tool Set Knitting Hook Set With Box</c:v>
                </c:pt>
                <c:pt idx="1">
                  <c:v>120W Cordless Vacuum Cleaners Handheld Electric Vacuum Cleaner</c:v>
                </c:pt>
                <c:pt idx="2">
                  <c:v>137 Pieces Cake Decorating Tool Set Baking Supplies</c:v>
                </c:pt>
                <c:pt idx="3">
                  <c:v>3D Waterproof EVA Plastic Shower Curtain 1.8*2Mtrs</c:v>
                </c:pt>
                <c:pt idx="4">
                  <c:v>Electronic Digital Display Vernier Caliper</c:v>
                </c:pt>
              </c:strCache>
            </c:strRef>
          </c:cat>
          <c:val>
            <c:numRef>
              <c:f>'products with most reviews'!$B$4:$B$9</c:f>
              <c:numCache>
                <c:formatCode>General</c:formatCode>
                <c:ptCount val="5"/>
                <c:pt idx="0">
                  <c:v>39</c:v>
                </c:pt>
                <c:pt idx="1">
                  <c:v>69</c:v>
                </c:pt>
                <c:pt idx="2">
                  <c:v>55</c:v>
                </c:pt>
                <c:pt idx="3">
                  <c:v>44</c:v>
                </c:pt>
                <c:pt idx="4">
                  <c:v>49</c:v>
                </c:pt>
              </c:numCache>
            </c:numRef>
          </c:val>
          <c:extLst>
            <c:ext xmlns:c16="http://schemas.microsoft.com/office/drawing/2014/chart" uri="{C3380CC4-5D6E-409C-BE32-E72D297353CC}">
              <c16:uniqueId val="{00000000-1643-47CD-A6E1-F1D89E3BC0DC}"/>
            </c:ext>
          </c:extLst>
        </c:ser>
        <c:dLbls>
          <c:showLegendKey val="0"/>
          <c:showVal val="0"/>
          <c:showCatName val="0"/>
          <c:showSerName val="0"/>
          <c:showPercent val="0"/>
          <c:showBubbleSize val="0"/>
        </c:dLbls>
        <c:gapWidth val="182"/>
        <c:axId val="970721711"/>
        <c:axId val="970722191"/>
      </c:barChart>
      <c:catAx>
        <c:axId val="97072171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22191"/>
        <c:crosses val="autoZero"/>
        <c:auto val="1"/>
        <c:lblAlgn val="ctr"/>
        <c:lblOffset val="100"/>
        <c:noMultiLvlLbl val="0"/>
      </c:catAx>
      <c:valAx>
        <c:axId val="97072219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7217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 and dashboard.xlsx]Highest discount!PivotTable5</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of discount amount and product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'Highest discount'!$B$3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'Highest discount'!$A$4:$A$10</c:f>
              <c:strCache>
                <c:ptCount val="6"/>
                <c:pt idx="0">
                  <c:v>(blank)</c:v>
                </c:pt>
                <c:pt idx="1">
                  <c:v>Thickening Multipurpose Non Stick Easy To Clean Heat Resistant Spoon Pad</c:v>
                </c:pt>
                <c:pt idx="2">
                  <c:v>Shower Cap Wide Elastic Band Cover Reusable Bashroom Cap</c:v>
                </c:pt>
                <c:pt idx="3">
                  <c:v>Portable Soap Dispenser Kitchen Detergent Press Box Kitchen Tools</c:v>
                </c:pt>
                <c:pt idx="4">
                  <c:v>24 Grid Wall-mounted Sundries Organiser Fabric Closet Bag Storage Rack</c:v>
                </c:pt>
                <c:pt idx="5">
                  <c:v>2 Pairs Cowhide Split Leather Work Gloves.32â„‰ Or Above Welding Gloves</c:v>
                </c:pt>
              </c:strCache>
            </c:strRef>
          </c:cat>
          <c:val>
            <c:numRef>
              <c:f>'Highest discount'!$B$4:$B$10</c:f>
              <c:numCache>
                <c:formatCode>General</c:formatCode>
                <c:ptCount val="6"/>
                <c:pt idx="1">
                  <c:v>31</c:v>
                </c:pt>
                <c:pt idx="2">
                  <c:v>37</c:v>
                </c:pt>
                <c:pt idx="3">
                  <c:v>37</c:v>
                </c:pt>
                <c:pt idx="4">
                  <c:v>24</c:v>
                </c:pt>
                <c:pt idx="5">
                  <c:v>33</c:v>
                </c:pt>
              </c:numCache>
            </c:numRef>
          </c:val>
          <c:extLst>
            <c:ext xmlns:c16="http://schemas.microsoft.com/office/drawing/2014/chart" uri="{C3380CC4-5D6E-409C-BE32-E72D297353CC}">
              <c16:uniqueId val="{00000000-917E-4615-8CC7-E461D25592EE}"/>
            </c:ext>
          </c:extLst>
        </c:ser>
        <c:dLbls>
          <c:showLegendKey val="0"/>
          <c:showVal val="1"/>
          <c:showCatName val="0"/>
          <c:showSerName val="0"/>
          <c:showPercent val="0"/>
          <c:showBubbleSize val="0"/>
        </c:dLbls>
        <c:gapWidth val="219"/>
        <c:axId val="970691471"/>
        <c:axId val="970691951"/>
      </c:barChart>
      <c:catAx>
        <c:axId val="97069147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91951"/>
        <c:crosses val="autoZero"/>
        <c:auto val="1"/>
        <c:lblAlgn val="ctr"/>
        <c:lblOffset val="100"/>
        <c:noMultiLvlLbl val="0"/>
      </c:catAx>
      <c:valAx>
        <c:axId val="97069195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06914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31750</xdr:colOff>
      <xdr:row>3</xdr:row>
      <xdr:rowOff>158750</xdr:rowOff>
    </xdr:from>
    <xdr:to>
      <xdr:col>12</xdr:col>
      <xdr:colOff>336550</xdr:colOff>
      <xdr:row>18</xdr:row>
      <xdr:rowOff>139700</xdr:rowOff>
    </xdr:to>
    <xdr:graphicFrame macro="">
      <xdr:nvGraphicFramePr>
        <xdr:cNvPr id="2" name="Chart 1">
          <a:extLst>
            <a:ext uri="{FF2B5EF4-FFF2-40B4-BE49-F238E27FC236}">
              <a16:creationId xmlns:a16="http://schemas.microsoft.com/office/drawing/2014/main" id="{37EA5A80-F230-51CF-8156-7D3A5FB791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177800</xdr:colOff>
      <xdr:row>3</xdr:row>
      <xdr:rowOff>38100</xdr:rowOff>
    </xdr:from>
    <xdr:to>
      <xdr:col>12</xdr:col>
      <xdr:colOff>177800</xdr:colOff>
      <xdr:row>16</xdr:row>
      <xdr:rowOff>168275</xdr:rowOff>
    </xdr:to>
    <mc:AlternateContent xmlns:mc="http://schemas.openxmlformats.org/markup-compatibility/2006">
      <mc:Choice xmlns:a14="http://schemas.microsoft.com/office/drawing/2010/main" Requires="a14">
        <xdr:graphicFrame macro="">
          <xdr:nvGraphicFramePr>
            <xdr:cNvPr id="3" name="Discount Category 3">
              <a:extLst>
                <a:ext uri="{FF2B5EF4-FFF2-40B4-BE49-F238E27FC236}">
                  <a16:creationId xmlns:a16="http://schemas.microsoft.com/office/drawing/2014/main" id="{2BAA787C-9D81-4A2B-A4BA-E0917C61C101}"/>
                </a:ext>
              </a:extLst>
            </xdr:cNvPr>
            <xdr:cNvGraphicFramePr/>
          </xdr:nvGraphicFramePr>
          <xdr:xfrm>
            <a:off x="0" y="0"/>
            <a:ext cx="0" cy="0"/>
          </xdr:xfrm>
          <a:graphic>
            <a:graphicData uri="http://schemas.microsoft.com/office/drawing/2010/slicer">
              <sle:slicer xmlns:sle="http://schemas.microsoft.com/office/drawing/2010/slicer" name="Discount Category 3"/>
            </a:graphicData>
          </a:graphic>
        </xdr:graphicFrame>
      </mc:Choice>
      <mc:Fallback>
        <xdr:sp macro="" textlink="">
          <xdr:nvSpPr>
            <xdr:cNvPr id="0" name=""/>
            <xdr:cNvSpPr>
              <a:spLocks noTextEdit="1"/>
            </xdr:cNvSpPr>
          </xdr:nvSpPr>
          <xdr:spPr>
            <a:xfrm>
              <a:off x="8966200" y="590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1746250</xdr:colOff>
      <xdr:row>9</xdr:row>
      <xdr:rowOff>152400</xdr:rowOff>
    </xdr:from>
    <xdr:to>
      <xdr:col>4</xdr:col>
      <xdr:colOff>596900</xdr:colOff>
      <xdr:row>23</xdr:row>
      <xdr:rowOff>98425</xdr:rowOff>
    </xdr:to>
    <mc:AlternateContent xmlns:mc="http://schemas.openxmlformats.org/markup-compatibility/2006">
      <mc:Choice xmlns:a14="http://schemas.microsoft.com/office/drawing/2010/main" Requires="a14">
        <xdr:graphicFrame macro="">
          <xdr:nvGraphicFramePr>
            <xdr:cNvPr id="2" name="Discount Category">
              <a:extLst>
                <a:ext uri="{FF2B5EF4-FFF2-40B4-BE49-F238E27FC236}">
                  <a16:creationId xmlns:a16="http://schemas.microsoft.com/office/drawing/2014/main" id="{8174D399-2101-E16A-4F3A-1610E2D039C0}"/>
                </a:ext>
              </a:extLst>
            </xdr:cNvPr>
            <xdr:cNvGraphicFramePr/>
          </xdr:nvGraphicFramePr>
          <xdr:xfrm>
            <a:off x="0" y="0"/>
            <a:ext cx="0" cy="0"/>
          </xdr:xfrm>
          <a:graphic>
            <a:graphicData uri="http://schemas.microsoft.com/office/drawing/2010/slicer">
              <sle:slicer xmlns:sle="http://schemas.microsoft.com/office/drawing/2010/slicer" name="Discount Category"/>
            </a:graphicData>
          </a:graphic>
        </xdr:graphicFrame>
      </mc:Choice>
      <mc:Fallback>
        <xdr:sp macro="" textlink="">
          <xdr:nvSpPr>
            <xdr:cNvPr id="0" name=""/>
            <xdr:cNvSpPr>
              <a:spLocks noTextEdit="1"/>
            </xdr:cNvSpPr>
          </xdr:nvSpPr>
          <xdr:spPr>
            <a:xfrm>
              <a:off x="6280150" y="18097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876300</xdr:colOff>
      <xdr:row>16</xdr:row>
      <xdr:rowOff>76200</xdr:rowOff>
    </xdr:from>
    <xdr:to>
      <xdr:col>1</xdr:col>
      <xdr:colOff>1708150</xdr:colOff>
      <xdr:row>33</xdr:row>
      <xdr:rowOff>38100</xdr:rowOff>
    </xdr:to>
    <xdr:graphicFrame macro="">
      <xdr:nvGraphicFramePr>
        <xdr:cNvPr id="3" name="Chart 2">
          <a:extLst>
            <a:ext uri="{FF2B5EF4-FFF2-40B4-BE49-F238E27FC236}">
              <a16:creationId xmlns:a16="http://schemas.microsoft.com/office/drawing/2014/main" id="{C42F59F9-347E-8AA8-F662-ADD4939360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82550</xdr:colOff>
      <xdr:row>4</xdr:row>
      <xdr:rowOff>88900</xdr:rowOff>
    </xdr:from>
    <xdr:to>
      <xdr:col>5</xdr:col>
      <xdr:colOff>82550</xdr:colOff>
      <xdr:row>18</xdr:row>
      <xdr:rowOff>34925</xdr:rowOff>
    </xdr:to>
    <mc:AlternateContent xmlns:mc="http://schemas.openxmlformats.org/markup-compatibility/2006">
      <mc:Choice xmlns:a14="http://schemas.microsoft.com/office/drawing/2010/main" Requires="a14">
        <xdr:graphicFrame macro="">
          <xdr:nvGraphicFramePr>
            <xdr:cNvPr id="2" name="Rating Category">
              <a:extLst>
                <a:ext uri="{FF2B5EF4-FFF2-40B4-BE49-F238E27FC236}">
                  <a16:creationId xmlns:a16="http://schemas.microsoft.com/office/drawing/2014/main" id="{5765B24E-36EB-FAAB-176D-C2F559B7F8B7}"/>
                </a:ext>
              </a:extLst>
            </xdr:cNvPr>
            <xdr:cNvGraphicFramePr/>
          </xdr:nvGraphicFramePr>
          <xdr:xfrm>
            <a:off x="0" y="0"/>
            <a:ext cx="0" cy="0"/>
          </xdr:xfrm>
          <a:graphic>
            <a:graphicData uri="http://schemas.microsoft.com/office/drawing/2010/slicer">
              <sle:slicer xmlns:sle="http://schemas.microsoft.com/office/drawing/2010/slicer" name="Rating Category"/>
            </a:graphicData>
          </a:graphic>
        </xdr:graphicFrame>
      </mc:Choice>
      <mc:Fallback>
        <xdr:sp macro="" textlink="">
          <xdr:nvSpPr>
            <xdr:cNvPr id="0" name=""/>
            <xdr:cNvSpPr>
              <a:spLocks noTextEdit="1"/>
            </xdr:cNvSpPr>
          </xdr:nvSpPr>
          <xdr:spPr>
            <a:xfrm>
              <a:off x="5194300" y="8255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387350</xdr:colOff>
      <xdr:row>4</xdr:row>
      <xdr:rowOff>107950</xdr:rowOff>
    </xdr:from>
    <xdr:to>
      <xdr:col>1</xdr:col>
      <xdr:colOff>908050</xdr:colOff>
      <xdr:row>19</xdr:row>
      <xdr:rowOff>88900</xdr:rowOff>
    </xdr:to>
    <xdr:graphicFrame macro="">
      <xdr:nvGraphicFramePr>
        <xdr:cNvPr id="3" name="Chart 2">
          <a:extLst>
            <a:ext uri="{FF2B5EF4-FFF2-40B4-BE49-F238E27FC236}">
              <a16:creationId xmlns:a16="http://schemas.microsoft.com/office/drawing/2014/main" id="{DF8736E8-79AA-63DA-5C37-2467C1C605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876300</xdr:colOff>
      <xdr:row>7</xdr:row>
      <xdr:rowOff>38100</xdr:rowOff>
    </xdr:from>
    <xdr:to>
      <xdr:col>1</xdr:col>
      <xdr:colOff>762000</xdr:colOff>
      <xdr:row>22</xdr:row>
      <xdr:rowOff>19050</xdr:rowOff>
    </xdr:to>
    <xdr:graphicFrame macro="">
      <xdr:nvGraphicFramePr>
        <xdr:cNvPr id="3" name="Chart 2">
          <a:extLst>
            <a:ext uri="{FF2B5EF4-FFF2-40B4-BE49-F238E27FC236}">
              <a16:creationId xmlns:a16="http://schemas.microsoft.com/office/drawing/2014/main" id="{3DE64545-DF9E-9520-B128-FB5BE6AD3DF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6350</xdr:colOff>
      <xdr:row>5</xdr:row>
      <xdr:rowOff>133350</xdr:rowOff>
    </xdr:from>
    <xdr:to>
      <xdr:col>3</xdr:col>
      <xdr:colOff>63500</xdr:colOff>
      <xdr:row>19</xdr:row>
      <xdr:rowOff>79375</xdr:rowOff>
    </xdr:to>
    <mc:AlternateContent xmlns:mc="http://schemas.openxmlformats.org/markup-compatibility/2006">
      <mc:Choice xmlns:a14="http://schemas.microsoft.com/office/drawing/2010/main" Requires="a14">
        <xdr:graphicFrame macro="">
          <xdr:nvGraphicFramePr>
            <xdr:cNvPr id="4" name="Discount Category 1">
              <a:extLst>
                <a:ext uri="{FF2B5EF4-FFF2-40B4-BE49-F238E27FC236}">
                  <a16:creationId xmlns:a16="http://schemas.microsoft.com/office/drawing/2014/main" id="{D6FC9296-BDD5-C013-8373-FDACD3151578}"/>
                </a:ext>
              </a:extLst>
            </xdr:cNvPr>
            <xdr:cNvGraphicFramePr/>
          </xdr:nvGraphicFramePr>
          <xdr:xfrm>
            <a:off x="0" y="0"/>
            <a:ext cx="0" cy="0"/>
          </xdr:xfrm>
          <a:graphic>
            <a:graphicData uri="http://schemas.microsoft.com/office/drawing/2010/slicer">
              <sle:slicer xmlns:sle="http://schemas.microsoft.com/office/drawing/2010/slicer" name="Discount Category 1"/>
            </a:graphicData>
          </a:graphic>
        </xdr:graphicFrame>
      </mc:Choice>
      <mc:Fallback>
        <xdr:sp macro="" textlink="">
          <xdr:nvSpPr>
            <xdr:cNvPr id="0" name=""/>
            <xdr:cNvSpPr>
              <a:spLocks noTextEdit="1"/>
            </xdr:cNvSpPr>
          </xdr:nvSpPr>
          <xdr:spPr>
            <a:xfrm>
              <a:off x="4692650" y="1054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xdr:from>
      <xdr:col>7</xdr:col>
      <xdr:colOff>260350</xdr:colOff>
      <xdr:row>4</xdr:row>
      <xdr:rowOff>101600</xdr:rowOff>
    </xdr:from>
    <xdr:to>
      <xdr:col>10</xdr:col>
      <xdr:colOff>184150</xdr:colOff>
      <xdr:row>6</xdr:row>
      <xdr:rowOff>158750</xdr:rowOff>
    </xdr:to>
    <xdr:sp macro="" textlink="">
      <xdr:nvSpPr>
        <xdr:cNvPr id="2" name="Rectangle 1">
          <a:extLst>
            <a:ext uri="{FF2B5EF4-FFF2-40B4-BE49-F238E27FC236}">
              <a16:creationId xmlns:a16="http://schemas.microsoft.com/office/drawing/2014/main" id="{76A64FC0-A4DC-2867-F30E-2E9251059D28}"/>
            </a:ext>
          </a:extLst>
        </xdr:cNvPr>
        <xdr:cNvSpPr/>
      </xdr:nvSpPr>
      <xdr:spPr>
        <a:xfrm>
          <a:off x="4527550" y="863600"/>
          <a:ext cx="1752600" cy="438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Total</a:t>
          </a:r>
          <a:r>
            <a:rPr lang="en-US" sz="1100" baseline="0"/>
            <a:t> products 112</a:t>
          </a:r>
          <a:endParaRPr lang="en-US" sz="1100"/>
        </a:p>
      </xdr:txBody>
    </xdr:sp>
    <xdr:clientData/>
  </xdr:twoCellAnchor>
  <xdr:twoCellAnchor>
    <xdr:from>
      <xdr:col>10</xdr:col>
      <xdr:colOff>444500</xdr:colOff>
      <xdr:row>4</xdr:row>
      <xdr:rowOff>88900</xdr:rowOff>
    </xdr:from>
    <xdr:to>
      <xdr:col>13</xdr:col>
      <xdr:colOff>368300</xdr:colOff>
      <xdr:row>6</xdr:row>
      <xdr:rowOff>146050</xdr:rowOff>
    </xdr:to>
    <xdr:sp macro="" textlink="">
      <xdr:nvSpPr>
        <xdr:cNvPr id="4" name="Rectangle 3">
          <a:extLst>
            <a:ext uri="{FF2B5EF4-FFF2-40B4-BE49-F238E27FC236}">
              <a16:creationId xmlns:a16="http://schemas.microsoft.com/office/drawing/2014/main" id="{0DDA74EF-9C30-42D2-998D-50D4D0CA8325}"/>
            </a:ext>
          </a:extLst>
        </xdr:cNvPr>
        <xdr:cNvSpPr/>
      </xdr:nvSpPr>
      <xdr:spPr>
        <a:xfrm>
          <a:off x="6540500" y="850900"/>
          <a:ext cx="1752600" cy="438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Average</a:t>
          </a:r>
          <a:r>
            <a:rPr lang="en-US" sz="1100" baseline="0"/>
            <a:t> Rating 3.9</a:t>
          </a:r>
          <a:endParaRPr lang="en-US" sz="1100"/>
        </a:p>
      </xdr:txBody>
    </xdr:sp>
    <xdr:clientData/>
  </xdr:twoCellAnchor>
  <xdr:twoCellAnchor>
    <xdr:from>
      <xdr:col>14</xdr:col>
      <xdr:colOff>38100</xdr:colOff>
      <xdr:row>4</xdr:row>
      <xdr:rowOff>107950</xdr:rowOff>
    </xdr:from>
    <xdr:to>
      <xdr:col>17</xdr:col>
      <xdr:colOff>152400</xdr:colOff>
      <xdr:row>6</xdr:row>
      <xdr:rowOff>165100</xdr:rowOff>
    </xdr:to>
    <xdr:sp macro="" textlink="">
      <xdr:nvSpPr>
        <xdr:cNvPr id="6" name="Rectangle 5">
          <a:extLst>
            <a:ext uri="{FF2B5EF4-FFF2-40B4-BE49-F238E27FC236}">
              <a16:creationId xmlns:a16="http://schemas.microsoft.com/office/drawing/2014/main" id="{3AD9CECC-1CD6-47DD-B198-BD4B2B99C773}"/>
            </a:ext>
          </a:extLst>
        </xdr:cNvPr>
        <xdr:cNvSpPr/>
      </xdr:nvSpPr>
      <xdr:spPr>
        <a:xfrm>
          <a:off x="8572500" y="869950"/>
          <a:ext cx="1943100" cy="438150"/>
        </a:xfrm>
        <a:prstGeom prst="rect">
          <a:avLst/>
        </a:prstGeom>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100"/>
            <a:t>Average discount percentage</a:t>
          </a:r>
        </a:p>
      </xdr:txBody>
    </xdr:sp>
    <xdr:clientData/>
  </xdr:twoCellAnchor>
  <xdr:twoCellAnchor>
    <xdr:from>
      <xdr:col>10</xdr:col>
      <xdr:colOff>603251</xdr:colOff>
      <xdr:row>8</xdr:row>
      <xdr:rowOff>63500</xdr:rowOff>
    </xdr:from>
    <xdr:to>
      <xdr:col>18</xdr:col>
      <xdr:colOff>243417</xdr:colOff>
      <xdr:row>20</xdr:row>
      <xdr:rowOff>105834</xdr:rowOff>
    </xdr:to>
    <xdr:graphicFrame macro="">
      <xdr:nvGraphicFramePr>
        <xdr:cNvPr id="14" name="Chart 13">
          <a:extLst>
            <a:ext uri="{FF2B5EF4-FFF2-40B4-BE49-F238E27FC236}">
              <a16:creationId xmlns:a16="http://schemas.microsoft.com/office/drawing/2014/main" id="{5DE892F5-4194-4FAC-9D49-0019520CD3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12</xdr:row>
      <xdr:rowOff>88900</xdr:rowOff>
    </xdr:from>
    <xdr:to>
      <xdr:col>2</xdr:col>
      <xdr:colOff>601133</xdr:colOff>
      <xdr:row>26</xdr:row>
      <xdr:rowOff>94192</xdr:rowOff>
    </xdr:to>
    <mc:AlternateContent xmlns:mc="http://schemas.openxmlformats.org/markup-compatibility/2006">
      <mc:Choice xmlns:a14="http://schemas.microsoft.com/office/drawing/2010/main" Requires="a14">
        <xdr:graphicFrame macro="">
          <xdr:nvGraphicFramePr>
            <xdr:cNvPr id="17" name="Current price 1">
              <a:extLst>
                <a:ext uri="{FF2B5EF4-FFF2-40B4-BE49-F238E27FC236}">
                  <a16:creationId xmlns:a16="http://schemas.microsoft.com/office/drawing/2014/main" id="{B66E9CFB-F8E2-453A-BFD6-BF487185C9A2}"/>
                </a:ext>
              </a:extLst>
            </xdr:cNvPr>
            <xdr:cNvGraphicFramePr/>
          </xdr:nvGraphicFramePr>
          <xdr:xfrm>
            <a:off x="0" y="0"/>
            <a:ext cx="0" cy="0"/>
          </xdr:xfrm>
          <a:graphic>
            <a:graphicData uri="http://schemas.microsoft.com/office/drawing/2010/slicer">
              <sle:slicer xmlns:sle="http://schemas.microsoft.com/office/drawing/2010/slicer" name="Current price 1"/>
            </a:graphicData>
          </a:graphic>
        </xdr:graphicFrame>
      </mc:Choice>
      <mc:Fallback>
        <xdr:sp macro="" textlink="">
          <xdr:nvSpPr>
            <xdr:cNvPr id="0" name=""/>
            <xdr:cNvSpPr>
              <a:spLocks noTextEdit="1"/>
            </xdr:cNvSpPr>
          </xdr:nvSpPr>
          <xdr:spPr>
            <a:xfrm>
              <a:off x="0" y="2374900"/>
              <a:ext cx="1820333" cy="267229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12700</xdr:colOff>
      <xdr:row>27</xdr:row>
      <xdr:rowOff>38101</xdr:rowOff>
    </xdr:from>
    <xdr:to>
      <xdr:col>3</xdr:col>
      <xdr:colOff>12700</xdr:colOff>
      <xdr:row>34</xdr:row>
      <xdr:rowOff>139701</xdr:rowOff>
    </xdr:to>
    <mc:AlternateContent xmlns:mc="http://schemas.openxmlformats.org/markup-compatibility/2006">
      <mc:Choice xmlns:a14="http://schemas.microsoft.com/office/drawing/2010/main" Requires="a14">
        <xdr:graphicFrame macro="">
          <xdr:nvGraphicFramePr>
            <xdr:cNvPr id="19" name="Rating Category 1">
              <a:extLst>
                <a:ext uri="{FF2B5EF4-FFF2-40B4-BE49-F238E27FC236}">
                  <a16:creationId xmlns:a16="http://schemas.microsoft.com/office/drawing/2014/main" id="{72391CED-05AA-4B69-A09F-1B6872885EFB}"/>
                </a:ext>
              </a:extLst>
            </xdr:cNvPr>
            <xdr:cNvGraphicFramePr/>
          </xdr:nvGraphicFramePr>
          <xdr:xfrm>
            <a:off x="0" y="0"/>
            <a:ext cx="0" cy="0"/>
          </xdr:xfrm>
          <a:graphic>
            <a:graphicData uri="http://schemas.microsoft.com/office/drawing/2010/slicer">
              <sle:slicer xmlns:sle="http://schemas.microsoft.com/office/drawing/2010/slicer" name="Rating Category 1"/>
            </a:graphicData>
          </a:graphic>
        </xdr:graphicFrame>
      </mc:Choice>
      <mc:Fallback>
        <xdr:sp macro="" textlink="">
          <xdr:nvSpPr>
            <xdr:cNvPr id="0" name=""/>
            <xdr:cNvSpPr>
              <a:spLocks noTextEdit="1"/>
            </xdr:cNvSpPr>
          </xdr:nvSpPr>
          <xdr:spPr>
            <a:xfrm>
              <a:off x="12700" y="5181601"/>
              <a:ext cx="1828800" cy="1435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25400</xdr:colOff>
      <xdr:row>6</xdr:row>
      <xdr:rowOff>1</xdr:rowOff>
    </xdr:from>
    <xdr:to>
      <xdr:col>3</xdr:col>
      <xdr:colOff>25400</xdr:colOff>
      <xdr:row>11</xdr:row>
      <xdr:rowOff>152400</xdr:rowOff>
    </xdr:to>
    <mc:AlternateContent xmlns:mc="http://schemas.openxmlformats.org/markup-compatibility/2006">
      <mc:Choice xmlns:a14="http://schemas.microsoft.com/office/drawing/2010/main" Requires="a14">
        <xdr:graphicFrame macro="">
          <xdr:nvGraphicFramePr>
            <xdr:cNvPr id="23" name="Discount Category 4">
              <a:extLst>
                <a:ext uri="{FF2B5EF4-FFF2-40B4-BE49-F238E27FC236}">
                  <a16:creationId xmlns:a16="http://schemas.microsoft.com/office/drawing/2014/main" id="{974CB04C-5040-4E6E-ABD8-467FB54A503F}"/>
                </a:ext>
              </a:extLst>
            </xdr:cNvPr>
            <xdr:cNvGraphicFramePr/>
          </xdr:nvGraphicFramePr>
          <xdr:xfrm>
            <a:off x="0" y="0"/>
            <a:ext cx="0" cy="0"/>
          </xdr:xfrm>
          <a:graphic>
            <a:graphicData uri="http://schemas.microsoft.com/office/drawing/2010/slicer">
              <sle:slicer xmlns:sle="http://schemas.microsoft.com/office/drawing/2010/slicer" name="Discount Category 4"/>
            </a:graphicData>
          </a:graphic>
        </xdr:graphicFrame>
      </mc:Choice>
      <mc:Fallback>
        <xdr:sp macro="" textlink="">
          <xdr:nvSpPr>
            <xdr:cNvPr id="0" name=""/>
            <xdr:cNvSpPr>
              <a:spLocks noTextEdit="1"/>
            </xdr:cNvSpPr>
          </xdr:nvSpPr>
          <xdr:spPr>
            <a:xfrm>
              <a:off x="25400" y="1143001"/>
              <a:ext cx="1828800" cy="11048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152400</xdr:colOff>
      <xdr:row>0</xdr:row>
      <xdr:rowOff>152400</xdr:rowOff>
    </xdr:from>
    <xdr:to>
      <xdr:col>15</xdr:col>
      <xdr:colOff>469900</xdr:colOff>
      <xdr:row>4</xdr:row>
      <xdr:rowOff>25400</xdr:rowOff>
    </xdr:to>
    <xdr:sp macro="" textlink="">
      <xdr:nvSpPr>
        <xdr:cNvPr id="33" name="Rectangle 32">
          <a:extLst>
            <a:ext uri="{FF2B5EF4-FFF2-40B4-BE49-F238E27FC236}">
              <a16:creationId xmlns:a16="http://schemas.microsoft.com/office/drawing/2014/main" id="{6854D056-0EDB-47BB-94FE-3C561376BA87}"/>
            </a:ext>
          </a:extLst>
        </xdr:cNvPr>
        <xdr:cNvSpPr/>
      </xdr:nvSpPr>
      <xdr:spPr>
        <a:xfrm>
          <a:off x="7467600" y="152400"/>
          <a:ext cx="2146300" cy="635000"/>
        </a:xfrm>
        <a:prstGeom prst="rect">
          <a:avLst/>
        </a:prstGeom>
        <a:solidFill>
          <a:schemeClr val="bg1"/>
        </a:solidFill>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US" sz="1600"/>
            <a:t>JUMIA</a:t>
          </a:r>
          <a:r>
            <a:rPr lang="en-US" sz="1600" baseline="0"/>
            <a:t> DASHBOARD</a:t>
          </a:r>
          <a:endParaRPr lang="en-US" sz="1600"/>
        </a:p>
      </xdr:txBody>
    </xdr:sp>
    <xdr:clientData/>
  </xdr:twoCellAnchor>
  <xdr:twoCellAnchor>
    <xdr:from>
      <xdr:col>3</xdr:col>
      <xdr:colOff>444500</xdr:colOff>
      <xdr:row>8</xdr:row>
      <xdr:rowOff>25400</xdr:rowOff>
    </xdr:from>
    <xdr:to>
      <xdr:col>10</xdr:col>
      <xdr:colOff>514350</xdr:colOff>
      <xdr:row>20</xdr:row>
      <xdr:rowOff>139700</xdr:rowOff>
    </xdr:to>
    <xdr:graphicFrame macro="">
      <xdr:nvGraphicFramePr>
        <xdr:cNvPr id="37" name="Chart 36">
          <a:extLst>
            <a:ext uri="{FF2B5EF4-FFF2-40B4-BE49-F238E27FC236}">
              <a16:creationId xmlns:a16="http://schemas.microsoft.com/office/drawing/2014/main" id="{177D34B7-ED8E-4FF8-87D2-24541408E0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73.489180092591" createdVersion="8" refreshedVersion="8" minRefreshableVersion="3" recordCount="115" xr:uid="{BDD2F49A-BE55-4677-9C8A-131EB250257E}">
  <cacheSource type="worksheet">
    <worksheetSource ref="A1:I116" sheet="Excel_jumia (ASSIGNMENT)"/>
  </cacheSource>
  <cacheFields count="9">
    <cacheField name="Product" numFmtId="0">
      <sharedItems containsBlank="1"/>
    </cacheField>
    <cacheField name="Current price" numFmtId="164">
      <sharedItems containsString="0" containsBlank="1" containsNumber="1" minValue="38" maxValue="3750"/>
    </cacheField>
    <cacheField name="old price" numFmtId="164">
      <sharedItems containsString="0" containsBlank="1" containsNumber="1" minValue="80" maxValue="6143"/>
    </cacheField>
    <cacheField name="Discount Percentage" numFmtId="9">
      <sharedItems containsSemiMixedTypes="0" containsString="0" containsNumber="1" minValue="0.01" maxValue="0.64"/>
    </cacheField>
    <cacheField name="Reviewed" numFmtId="0">
      <sharedItems containsString="0" containsBlank="1" containsNumber="1" containsInteger="1" minValue="0" maxValue="69"/>
    </cacheField>
    <cacheField name="Ratingd" numFmtId="0">
      <sharedItems containsMixedTypes="1" containsNumber="1" minValue="2" maxValue="5"/>
    </cacheField>
    <cacheField name="Discount Amount" numFmtId="0">
      <sharedItems containsString="0" containsBlank="1" containsNumber="1" containsInteger="1" minValue="24" maxValue="2585"/>
    </cacheField>
    <cacheField name="Rating Category" numFmtId="0">
      <sharedItems containsBlank="1" count="5">
        <s v="Average"/>
        <s v="N/A"/>
        <s v="Excellent"/>
        <s v="Poor"/>
        <m/>
      </sharedItems>
    </cacheField>
    <cacheField name="Discount Category" numFmtId="0">
      <sharedItems containsBlank="1" count="4">
        <s v="High"/>
        <s v="Medium"/>
        <s v="Low"/>
        <m/>
      </sharedItems>
    </cacheField>
  </cacheFields>
  <extLst>
    <ext xmlns:x14="http://schemas.microsoft.com/office/spreadsheetml/2009/9/main" uri="{725AE2AE-9491-48be-B2B4-4EB974FC3084}">
      <x14:pivotCacheDefinition pivotCacheId="1637538350"/>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istrator" refreshedDate="46073.579219675928" createdVersion="8" refreshedVersion="8" minRefreshableVersion="3" recordCount="116" xr:uid="{E36343D9-0FD4-4735-AB70-0FB5AB02A4AE}">
  <cacheSource type="worksheet">
    <worksheetSource ref="A1:I117" sheet="Excel_jumia (ASSIGNMENT)"/>
  </cacheSource>
  <cacheFields count="9">
    <cacheField name="Product" numFmtId="0">
      <sharedItems containsBlank="1" count="110">
        <s v="3PCS Single Head Knitting Crochet Sweater Needle Set"/>
        <s v="Sewing Machine Needle Threader Stitch Insertion Tool Automatic Quick Sewing"/>
        <s v="Black Simple Water Cup Wine Coaster Anti Slip Absorbent"/>
        <s v="Classic Black Cat Cotton Hemp Pillow Case For Home Car"/>
        <s v="Creative Owl Shape Keychain Black"/>
        <s v="Exfoliate And Exfoliate Face Towel - Black"/>
        <s v="Peacock  Throw Pillow Cushion Case For Home Car"/>
        <s v="1PC Refrigerator Food Seal Pocket Fridge Bags"/>
        <s v="6 In 1 Bottle Can Opener Multifunctional Easy Opener"/>
        <s v="7PCS Silicone Thumb Knife Finger Protector Vegetable Harvesting Knife"/>
        <s v="Modern Sofa Throw Pillow Cover-45x45cm-Blue&amp;Red"/>
        <s v="4 Piece Coloured Stainless Steel Kitchenware Set"/>
        <s v="Cartoon Car Decoration Cute Individuality For Car Home Desk"/>
        <s v="Brush &amp; Paintbrush Cleaning Tool Pink"/>
        <s v="Pilates Cloth Bag Waterproof Durable High Capacity Purple"/>
        <s v="Intelligent  LED Body Sensor Wireless Lighting Night Light USB"/>
        <s v="Household Pineapple Peeler Peeler"/>
        <s v="Anti-Skid Absorbent Insulation Coaster  For Home Office"/>
        <s v="Watercolour Gold Foil Textured Print Pillow Cover"/>
        <s v="Agapeon Toothbrush Holder And Toothpaste Dispenser"/>
        <s v="Punch-free Great Load Bearing Bathroom Storage Rack Wall Shelf-White"/>
        <s v="Simple Metal Dog Art Sculpture Decoration For Home Office"/>
        <s v="Electronic Digital Display Vernier Caliper"/>
        <s v="120W Cordless Vacuum Cleaners Handheld Electric Vacuum Cleaner"/>
        <s v="Wall-mounted Sticker Punch-free Plug Fixer"/>
        <s v="Mythco 120COB Solar Wall Ligt With Motion Sensor And Remote Control 3 Modes"/>
        <s v="4M Float Switch Water Level Controller -Water Tank"/>
        <s v="LASA Digital Thermometer And Hydrometer"/>
        <s v="Wrought Iron Bathroom Shelf Wall Mounted Free Punch Toilet Rack"/>
        <s v="Baby Early Education Shape And Color Cognitive Training Toys"/>
        <s v="Metal Decorative Hooks Key Hangers Entryway Wall Hooks Towel Hooks - Home"/>
        <s v="40cm Gold DIY Acrylic Wall Sticker Clock"/>
        <s v="Balloon Insert, Birthday Party Balloon Set, PU Leather"/>
        <s v="Multifunctional Hanging Storage Box Storage Bag (4 Layers)"/>
        <s v="Angle Measuring Tool Full Metal Multi Angle Measuring Tool"/>
        <s v="Car Phone Charging Stand"/>
        <s v="3PCS Rotary Scraper Thermomix For Kitchen"/>
        <s v="Christmas Fence Garden Decorations Outdoor For Holiday Home"/>
        <s v="2PCS/LOT Solar LED Outdoor Intelligent Light Controlled Wall Lamp"/>
        <s v="Genebre 115 In 1 Screwdriver Repairing Tool Set For IPhone Cellphone Hand Tool"/>
        <s v="Cute Christmas Fence Garden Decorations For Holiday Home"/>
        <s v="Outdoor Portable Water Bottle With Medicine Box - 600ML - Black"/>
        <s v="Wall Clock With Hidden Safe Box"/>
        <s v="LED Romantic Spaceship Starry Sky Projector,Children's Bedroom Night Light-Blue"/>
        <s v="6 Layers Steel Pipe Assembling Dustproof Storage Shoe Cabinet"/>
        <s v="115  Piece Set Of Multifunctional Precision Screwdrivers"/>
        <s v="7-piece Set Of Storage Bags, Travel Storage Bags, Shoe Bags"/>
        <s v="Bedroom Simple Floor Hanging Clothes Rack Single Pole Hat Rack - White"/>
        <s v="12 Litre Insulated Lunch Box Grey"/>
        <s v="Desk Foldable Fan Adjustable Fan Strong Wind 3 Gear Usb"/>
        <s v="100 Pcs Crochet Hook Tool Set Knitting Hook Set With Box"/>
        <s v="Artificial Potted Flowers Room Decorative Flowers (2 Pieces)"/>
        <s v="3D Waterproof EVA Plastic Shower Curtain 1.8*2Mtrs"/>
        <s v="Christmas Elk Fence Yard Lawn Decorations Cute For Holidays"/>
        <s v="380ML USB Rechargeable Portable Small Blenders And Juicers"/>
        <s v="8in1 Screwdriver With LED Light"/>
        <s v="LED Solar Street Light-fake Camera"/>
        <s v="Memory Foam Neck Pillow Cover, With Pillow Core - 50*30cm"/>
        <s v="60W Hot Melt Glue Sprayer - Efficient And Stable Glue Dispensing"/>
        <s v="Cartoon Embroidered Mini Towel Bear Cotton Wash Cloth Hand 4pcs"/>
        <s v="2pcs Solar Street Light Flood Light Outdoor"/>
        <s v="2PCS Ice Silk Square Cushion Cover Pillowcases - 65x65cm"/>
        <s v="VIC Wireless Vacuum Cleaner Dual Use For Home And Car 120W High Power Powerful"/>
        <s v="LASA FOLDING TABLE SERVING STAND"/>
        <s v="Portable Wine Table With Folding Round Table"/>
        <s v="12 Litre Black Insulated Lunch Box"/>
        <s v="9pcs Gas Mask, For Painting, Dust, Formaldehyde Grinding, Polishing"/>
        <s v="Multi-purpose Rice Drainage Basket And Fruit And Vegetable Drainage Sieve"/>
        <s v="5m Waterproof Spherical LED String Lights Outdoor Ball Chain Lights Party Lighting Decoration Adjustable"/>
        <s v="Portable Soap Dispenser Kitchen Detergent Press Box Kitchen Tools"/>
        <s v="Office Chair Lumbar Back Support Spine Posture Correction Pillow Car Cushion"/>
        <s v="Wall-Mounted Toothbrush Toothpaste Holder With Multiple Slots"/>
        <s v="Wall Mount Automatic Toothpaste Dispenser Toothbrush Holder Toothpaste Squeezer"/>
        <s v="Electric LED UV Mosquito Killer Lamp, Outdoor/Indoor Fly Killer Trap Light -USB"/>
        <s v="Weighing Scale Digital Bathroom Body Fat Scale USB-Black"/>
        <s v="13 In 1 Home Repair Tools Box Kit Set"/>
        <s v="DIY File Folder, Office Drawer File Holder, Pen Holder, Desktop Storage Rack"/>
        <s v="Foldable Overbed Table/Desk"/>
        <s v="Shower Nozzle Cleaning Unclogging Needle Mini Crevice Small Hole Cleaning Brush"/>
        <s v="Pen Grips For Kids Pen Grip Posture Correction Tool For Kids"/>
        <s v="2 Pairs Cowhide Split Leather Work Gloves.32â„‰ Or Above Welding Gloves"/>
        <s v="Multifunction Laser Level With Adjustment Tripod"/>
        <s v="Cushion Silicone Butt Cushion Summer Ice Cushion Honeycomb Gel Cushion"/>
        <s v="Portable Home Small Air Humidifier 3-Speed Fan - Green"/>
        <s v="52 Pieces Cake Decorating Tool Set Gift Kit Baking Supplies"/>
        <s v="Thickening Multipurpose Non Stick Easy To Clean Heat Resistant Spoon Pad"/>
        <s v="1/2/3 Seater Elastic Sofa Cover,Living Room/Home Decor Chair Cover-Grey"/>
        <s v="LED Eye Protection  Desk Lamp , Study, Reading, USB Fan - Double Pen Holder"/>
        <s v="4pcs Bathroom/Kitchen Towel Rack,Roll Paper Holder,Towel Bars,Hook"/>
        <s v="24 Grid Wall-mounted Sundries Organiser Fabric Closet Bag Storage Rack"/>
        <s v="53Pcs/Set Yarn Knitting Crochet Hooks With Bag - Fortune Cat"/>
        <s v="53 Pieces/Set Yarn Knitting Crochet Hooks With Bag - Pansies"/>
        <s v="LASA Aluminum Folding Truck Hand Cart - 68kg Max"/>
        <s v="LASA 3 Tier Bamboo Shoe Bench Storage Shelf"/>
        <m/>
        <s v="5-PCS Stainless Steel Cooking Pot Set With Steamed Slices"/>
        <s v="Shower Cap Wide Elastic Band Cover Reusable Bashroom Cap"/>
        <s v="5 Pieces/set Of Stainless Steel Induction Cooker Pots"/>
        <s v="Portable Mini Cordless Car Vacuum Cleaner - Blue"/>
        <s v="MultiFunctional Storage Rack Multi-layer Bookshelf"/>
        <s v="Large Lazy Inflatable Sofa Chairs PVC Lounger Seat Bag"/>
        <s v="137 Pieces Cake Decorating Tool Set Baking Supplies"/>
        <s v="LASA Stainless Steel Double Wall Mount Soap Dispenser - 500ml"/>
        <s v="12V 19500rpm Handheld Electric Angle Grinder Tool - UK - Yellow/Black"/>
        <s v="Portable Wardrobe Nonwoven With 3 Hanging Rods And 6 Storage Shelves"/>
        <s v="220V 60W Electric Soldering Iron Kits With Tools, Tips, And Multimeter"/>
        <s v="LED Wall Digital Alarm Clock Study Home 12 / 24H Clock Calendar"/>
        <s v="Metal Wall Clock Silver Dial Crystal Jewelry Round Home Decoration Wall Clock"/>
        <s v="Konka Healty Electric Kettle, 24-hour Heat Preservation,1.5L,800W, White"/>
        <s v="32PCS Portable Cordless Drill Set With Cyclic Battery Drive -26 Variable Speed"/>
      </sharedItems>
    </cacheField>
    <cacheField name="Current price" numFmtId="164">
      <sharedItems containsString="0" containsBlank="1" containsNumber="1" minValue="38" maxValue="3750" count="105">
        <n v="38"/>
        <n v="105"/>
        <n v="169"/>
        <n v="171"/>
        <n v="176"/>
        <n v="185"/>
        <n v="195"/>
        <n v="198"/>
        <n v="199"/>
        <n v="230"/>
        <n v="238"/>
        <n v="248"/>
        <n v="274"/>
        <n v="299"/>
        <n v="325"/>
        <n v="330"/>
        <n v="332"/>
        <n v="345"/>
        <n v="382"/>
        <n v="389"/>
        <n v="399"/>
        <n v="420"/>
        <n v="445"/>
        <n v="450"/>
        <n v="458"/>
        <n v="475"/>
        <n v="499"/>
        <n v="501"/>
        <n v="509"/>
        <n v="525"/>
        <n v="527"/>
        <n v="552"/>
        <n v="610"/>
        <n v="630"/>
        <n v="657"/>
        <n v="671"/>
        <n v="690"/>
        <n v="699"/>
        <n v="790"/>
        <n v="799"/>
        <n v="850"/>
        <n v="880"/>
        <n v="899"/>
        <n v="950"/>
        <n v="968"/>
        <n v="979"/>
        <n v="980"/>
        <n v="988"/>
        <n v="990"/>
        <n v="998"/>
        <n v="999"/>
        <n v="1000"/>
        <n v="1080"/>
        <n v="1150"/>
        <n v="1189"/>
        <n v="1190"/>
        <n v="1200"/>
        <n v="1220"/>
        <n v="1274"/>
        <n v="1300"/>
        <n v="1350"/>
        <n v="1420"/>
        <n v="1459"/>
        <n v="1460"/>
        <n v="1462"/>
        <n v="1466"/>
        <n v="1468"/>
        <n v="1526"/>
        <n v="1570"/>
        <n v="1580"/>
        <n v="1600"/>
        <n v="1620"/>
        <n v="1650"/>
        <n v="1658"/>
        <n v="1660"/>
        <n v="1666"/>
        <n v="1680"/>
        <n v="1732"/>
        <n v="1740"/>
        <n v="1758"/>
        <n v="1768"/>
        <n v="1800"/>
        <n v="1820"/>
        <n v="1860"/>
        <n v="1875"/>
        <n v="1940"/>
        <n v="1980"/>
        <n v="2025"/>
        <n v="2048"/>
        <n v="1469.108695652174"/>
        <n v="2115"/>
        <n v="2132"/>
        <n v="2170"/>
        <n v="2199"/>
        <n v="2200"/>
        <n v="2300"/>
        <n v="2319"/>
        <n v="2750"/>
        <n v="2799"/>
        <n v="2880"/>
        <n v="2999"/>
        <n v="3546"/>
        <n v="3640"/>
        <n v="3750"/>
        <m/>
      </sharedItems>
    </cacheField>
    <cacheField name="old price" numFmtId="164">
      <sharedItems containsString="0" containsBlank="1" containsNumber="1" minValue="80" maxValue="6143"/>
    </cacheField>
    <cacheField name="Discount Percentage" numFmtId="0">
      <sharedItems containsString="0" containsBlank="1" containsNumber="1" minValue="0.01" maxValue="0.64" count="49">
        <n v="0.53"/>
        <n v="0.48"/>
        <n v="0.47"/>
        <n v="0.49"/>
        <n v="0.52"/>
        <n v="0.46"/>
        <n v="0.24"/>
        <n v="0.61"/>
        <n v="0.64"/>
        <n v="0.5"/>
        <n v="0.22"/>
        <n v="0.51"/>
        <n v="0.43"/>
        <n v="0.45"/>
        <n v="0.41"/>
        <n v="0.55000000000000004"/>
        <n v="0.35"/>
        <n v="0.54"/>
        <n v="0.42"/>
        <n v="0.2"/>
        <n v="0.11"/>
        <n v="0.38"/>
        <n v="0.34"/>
        <n v="0.37"/>
        <n v="0.33"/>
        <n v="0.32"/>
        <n v="0.03"/>
        <n v="0.36"/>
        <n v="0.02"/>
        <n v="0.14000000000000001"/>
        <n v="0.08"/>
        <n v="0.4"/>
        <n v="0.23"/>
        <n v="0.04"/>
        <n v="0.26"/>
        <n v="0.3"/>
        <n v="0.01"/>
        <n v="0.27"/>
        <n v="0.31086956521739134"/>
        <n v="0.13"/>
        <n v="0.25"/>
        <n v="0.28999999999999998"/>
        <n v="0.18"/>
        <n v="0.09"/>
        <n v="0.19"/>
        <n v="0.21"/>
        <n v="0.39"/>
        <n v="0.36726433243555212"/>
        <m/>
      </sharedItems>
    </cacheField>
    <cacheField name="Reviewed" numFmtId="0">
      <sharedItems containsString="0" containsBlank="1" containsNumber="1" containsInteger="1" minValue="0" maxValue="69"/>
    </cacheField>
    <cacheField name="Ratingd" numFmtId="0">
      <sharedItems containsMixedTypes="1" containsNumber="1" minValue="2" maxValue="5" count="26">
        <n v="3.3"/>
        <s v="Not provided"/>
        <n v="5"/>
        <n v="4.3"/>
        <n v="2.7"/>
        <n v="4"/>
        <n v="2.2999999999999998"/>
        <n v="2.6"/>
        <n v="4.5999999999999996"/>
        <n v="2.8"/>
        <n v="2"/>
        <n v="3"/>
        <n v="4.5"/>
        <n v="4.0999999999999996"/>
        <n v="4.8"/>
        <n v="2.2000000000000002"/>
        <n v="4.7"/>
        <n v="2.9"/>
        <n v="3.8"/>
        <n v="2.1"/>
        <n v="4.4000000000000004"/>
        <n v="4.2"/>
        <n v="4.6500000000000004"/>
        <n v="2.5"/>
        <n v="3.9025862068965518"/>
        <s v=" "/>
      </sharedItems>
    </cacheField>
    <cacheField name="Discount Amount" numFmtId="0">
      <sharedItems containsString="0" containsBlank="1" containsNumber="1" containsInteger="1" minValue="24" maxValue="2585"/>
    </cacheField>
    <cacheField name="Rating Category" numFmtId="0">
      <sharedItems containsBlank="1" count="5">
        <s v="Average"/>
        <s v="N/A"/>
        <s v="Excellent"/>
        <s v="Poor"/>
        <m/>
      </sharedItems>
    </cacheField>
    <cacheField name="Discount Category" numFmtId="0">
      <sharedItems containsBlank="1" count="4">
        <s v="High"/>
        <s v="Medium"/>
        <s v="Low"/>
        <m/>
      </sharedItems>
    </cacheField>
  </cacheFields>
  <extLst>
    <ext xmlns:x14="http://schemas.microsoft.com/office/spreadsheetml/2009/9/main" uri="{725AE2AE-9491-48be-B2B4-4EB974FC3084}">
      <x14:pivotCacheDefinition pivotCacheId="20579032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5">
  <r>
    <s v="3PCS Single Head Knitting Crochet Sweater Needle Set"/>
    <n v="38"/>
    <n v="80"/>
    <n v="0.53"/>
    <n v="13"/>
    <n v="3.3"/>
    <n v="42"/>
    <x v="0"/>
    <x v="0"/>
  </r>
  <r>
    <s v="Sewing Machine Needle Threader Stitch Insertion Tool Automatic Quick Sewing"/>
    <n v="105"/>
    <n v="200"/>
    <n v="0.48"/>
    <n v="0"/>
    <s v="Not provided"/>
    <n v="95"/>
    <x v="1"/>
    <x v="0"/>
  </r>
  <r>
    <s v="Black Simple Water Cup Wine Coaster Anti Slip Absorbent"/>
    <n v="169"/>
    <n v="320"/>
    <n v="0.47"/>
    <n v="0"/>
    <s v="Not provided"/>
    <n v="151"/>
    <x v="1"/>
    <x v="0"/>
  </r>
  <r>
    <s v="Classic Black Cat Cotton Hemp Pillow Case For Home Car"/>
    <n v="171"/>
    <n v="360"/>
    <n v="0.53"/>
    <n v="2"/>
    <n v="5"/>
    <n v="189"/>
    <x v="2"/>
    <x v="0"/>
  </r>
  <r>
    <s v="Creative Owl Shape Keychain Black"/>
    <n v="176"/>
    <n v="345"/>
    <n v="0.49"/>
    <n v="0"/>
    <s v="Not provided"/>
    <n v="169"/>
    <x v="1"/>
    <x v="0"/>
  </r>
  <r>
    <s v="Exfoliate And Exfoliate Face Towel - Black"/>
    <n v="185"/>
    <n v="382"/>
    <n v="0.52"/>
    <n v="9"/>
    <n v="4.3"/>
    <n v="197"/>
    <x v="0"/>
    <x v="0"/>
  </r>
  <r>
    <s v="Peacock  Throw Pillow Cushion Case For Home Car"/>
    <n v="195"/>
    <n v="360"/>
    <n v="0.46"/>
    <n v="2"/>
    <n v="5"/>
    <n v="165"/>
    <x v="2"/>
    <x v="0"/>
  </r>
  <r>
    <s v="1PC Refrigerator Food Seal Pocket Fridge Bags"/>
    <n v="198"/>
    <n v="260"/>
    <n v="0.24"/>
    <n v="0"/>
    <s v="Not provided"/>
    <n v="62"/>
    <x v="1"/>
    <x v="1"/>
  </r>
  <r>
    <s v="Creative Owl Shape Keychain Black"/>
    <n v="199"/>
    <n v="504"/>
    <n v="0.61"/>
    <n v="0"/>
    <s v="Not provided"/>
    <n v="305"/>
    <x v="1"/>
    <x v="0"/>
  </r>
  <r>
    <s v="6 In 1 Bottle Can Opener Multifunctional Easy Opener"/>
    <n v="199"/>
    <n v="553"/>
    <n v="0.64"/>
    <n v="0"/>
    <s v="Not provided"/>
    <n v="354"/>
    <x v="1"/>
    <x v="0"/>
  </r>
  <r>
    <s v="7PCS Silicone Thumb Knife Finger Protector Vegetable Harvesting Knife"/>
    <n v="230"/>
    <n v="450"/>
    <n v="0.49"/>
    <n v="0"/>
    <s v="Not provided"/>
    <n v="220"/>
    <x v="1"/>
    <x v="0"/>
  </r>
  <r>
    <s v="Modern Sofa Throw Pillow Cover-45x45cm-Blue&amp;Red"/>
    <n v="238"/>
    <n v="476"/>
    <n v="0.5"/>
    <n v="0"/>
    <s v="Not provided"/>
    <n v="238"/>
    <x v="1"/>
    <x v="0"/>
  </r>
  <r>
    <s v="4 Piece Coloured Stainless Steel Kitchenware Set"/>
    <n v="248"/>
    <n v="486"/>
    <n v="0.49"/>
    <n v="0"/>
    <s v="Not provided"/>
    <n v="238"/>
    <x v="1"/>
    <x v="0"/>
  </r>
  <r>
    <s v="Cartoon Car Decoration Cute Individuality For Car Home Desk"/>
    <n v="274"/>
    <n v="537"/>
    <n v="0.49"/>
    <n v="0"/>
    <s v="Not provided"/>
    <n v="263"/>
    <x v="1"/>
    <x v="0"/>
  </r>
  <r>
    <s v="Brush &amp; Paintbrush Cleaning Tool Pink"/>
    <n v="299"/>
    <n v="600"/>
    <n v="0.5"/>
    <n v="0"/>
    <s v="Not provided"/>
    <n v="301"/>
    <x v="1"/>
    <x v="0"/>
  </r>
  <r>
    <s v="Pilates Cloth Bag Waterproof Durable High Capacity Purple"/>
    <n v="299"/>
    <n v="384"/>
    <n v="0.22"/>
    <n v="0"/>
    <s v="Not provided"/>
    <n v="85"/>
    <x v="1"/>
    <x v="1"/>
  </r>
  <r>
    <s v="Intelligent  LED Body Sensor Wireless Lighting Night Light USB"/>
    <n v="325"/>
    <n v="680"/>
    <n v="0.52"/>
    <n v="15"/>
    <n v="2.7"/>
    <n v="355"/>
    <x v="3"/>
    <x v="0"/>
  </r>
  <r>
    <s v="Household Pineapple Peeler Peeler"/>
    <n v="330"/>
    <n v="647"/>
    <n v="0.49"/>
    <n v="1"/>
    <n v="4"/>
    <n v="317"/>
    <x v="0"/>
    <x v="0"/>
  </r>
  <r>
    <s v="Anti-Skid Absorbent Insulation Coaster  For Home Office"/>
    <n v="332"/>
    <n v="684"/>
    <n v="0.51"/>
    <n v="2"/>
    <n v="5"/>
    <n v="352"/>
    <x v="2"/>
    <x v="0"/>
  </r>
  <r>
    <s v="Watercolour Gold Foil Textured Print Pillow Cover"/>
    <n v="345"/>
    <n v="602"/>
    <n v="0.43"/>
    <n v="6"/>
    <n v="2.2999999999999998"/>
    <n v="257"/>
    <x v="3"/>
    <x v="0"/>
  </r>
  <r>
    <s v="Agapeon Toothbrush Holder And Toothpaste Dispenser"/>
    <n v="382"/>
    <n v="700"/>
    <n v="0.45"/>
    <n v="17"/>
    <n v="2.6"/>
    <n v="318"/>
    <x v="3"/>
    <x v="0"/>
  </r>
  <r>
    <s v="Punch-free Great Load Bearing Bathroom Storage Rack Wall Shelf-White"/>
    <n v="389"/>
    <n v="656"/>
    <n v="0.41"/>
    <n v="36"/>
    <n v="4.3"/>
    <n v="267"/>
    <x v="0"/>
    <x v="0"/>
  </r>
  <r>
    <s v="Simple Metal Dog Art Sculpture Decoration For Home Office"/>
    <n v="399"/>
    <n v="896"/>
    <n v="0.55000000000000004"/>
    <n v="0"/>
    <s v="Not provided"/>
    <n v="497"/>
    <x v="1"/>
    <x v="0"/>
  </r>
  <r>
    <s v="Electronic Digital Display Vernier Caliper"/>
    <n v="420"/>
    <n v="647"/>
    <n v="0.35"/>
    <n v="49"/>
    <n v="4.5999999999999996"/>
    <n v="227"/>
    <x v="2"/>
    <x v="1"/>
  </r>
  <r>
    <s v="120W Cordless Vacuum Cleaners Handheld Electric Vacuum Cleaner"/>
    <n v="445"/>
    <n v="873"/>
    <n v="0.49"/>
    <n v="69"/>
    <n v="2.8"/>
    <n v="428"/>
    <x v="3"/>
    <x v="0"/>
  </r>
  <r>
    <s v="Wall-mounted Sticker Punch-free Plug Fixer"/>
    <n v="450"/>
    <n v="900"/>
    <n v="0.5"/>
    <n v="1"/>
    <n v="2"/>
    <n v="450"/>
    <x v="3"/>
    <x v="0"/>
  </r>
  <r>
    <s v="Mythco 120COB Solar Wall Ligt With Motion Sensor And Remote Control 3 Modes"/>
    <n v="458"/>
    <n v="986"/>
    <n v="0.54"/>
    <n v="10"/>
    <n v="3"/>
    <n v="528"/>
    <x v="0"/>
    <x v="0"/>
  </r>
  <r>
    <s v="4M Float Switch Water Level Controller -Water Tank"/>
    <n v="475"/>
    <n v="931"/>
    <n v="0.49"/>
    <n v="0"/>
    <s v="Not provided"/>
    <n v="456"/>
    <x v="1"/>
    <x v="0"/>
  </r>
  <r>
    <s v="Simple Metal Dog Art Sculpture Decoration For Home Office"/>
    <n v="499"/>
    <n v="900"/>
    <n v="0.45"/>
    <n v="0"/>
    <s v="Not provided"/>
    <n v="401"/>
    <x v="1"/>
    <x v="0"/>
  </r>
  <r>
    <s v="LASA Digital Thermometer And Hydrometer"/>
    <n v="501"/>
    <n v="860"/>
    <n v="0.42"/>
    <n v="6"/>
    <n v="4.5"/>
    <n v="359"/>
    <x v="2"/>
    <x v="0"/>
  </r>
  <r>
    <s v="Wrought Iron Bathroom Shelf Wall Mounted Free Punch Toilet Rack"/>
    <n v="509"/>
    <n v="899"/>
    <n v="0.43"/>
    <n v="5"/>
    <n v="3"/>
    <n v="390"/>
    <x v="0"/>
    <x v="0"/>
  </r>
  <r>
    <s v="Baby Early Education Shape And Color Cognitive Training Toys"/>
    <n v="525"/>
    <n v="1029"/>
    <n v="0.49"/>
    <n v="0"/>
    <s v="Not provided"/>
    <n v="504"/>
    <x v="1"/>
    <x v="0"/>
  </r>
  <r>
    <s v="Metal Decorative Hooks Key Hangers Entryway Wall Hooks Towel Hooks - Home"/>
    <n v="527"/>
    <n v="999"/>
    <n v="0.47"/>
    <n v="14"/>
    <n v="4.0999999999999996"/>
    <n v="472"/>
    <x v="0"/>
    <x v="0"/>
  </r>
  <r>
    <s v="40cm Gold DIY Acrylic Wall Sticker Clock"/>
    <n v="552"/>
    <n v="1035"/>
    <n v="0.47"/>
    <n v="12"/>
    <n v="4.8"/>
    <n v="483"/>
    <x v="2"/>
    <x v="0"/>
  </r>
  <r>
    <s v="Balloon Insert, Birthday Party Balloon Set, PU Leather"/>
    <n v="610"/>
    <n v="1060"/>
    <n v="0.42"/>
    <n v="0"/>
    <s v="Not provided"/>
    <n v="450"/>
    <x v="1"/>
    <x v="0"/>
  </r>
  <r>
    <s v="Multifunctional Hanging Storage Box Storage Bag (4 Layers)"/>
    <n v="630"/>
    <n v="1100"/>
    <n v="0.43"/>
    <n v="0"/>
    <s v="Not provided"/>
    <n v="470"/>
    <x v="1"/>
    <x v="0"/>
  </r>
  <r>
    <s v="Angle Measuring Tool Full Metal Multi Angle Measuring Tool"/>
    <n v="657"/>
    <n v="1288"/>
    <n v="0.49"/>
    <n v="0"/>
    <s v="Not provided"/>
    <n v="631"/>
    <x v="1"/>
    <x v="0"/>
  </r>
  <r>
    <s v="Car Phone Charging Stand"/>
    <n v="671"/>
    <n v="1316"/>
    <n v="0.49"/>
    <n v="0"/>
    <s v="Not provided"/>
    <n v="645"/>
    <x v="1"/>
    <x v="0"/>
  </r>
  <r>
    <s v="3PCS Rotary Scraper Thermomix For Kitchen"/>
    <n v="690"/>
    <n v="1200"/>
    <n v="0.43"/>
    <n v="0"/>
    <s v="Not provided"/>
    <n v="510"/>
    <x v="1"/>
    <x v="0"/>
  </r>
  <r>
    <s v="Christmas Fence Garden Decorations Outdoor For Holiday Home"/>
    <n v="699"/>
    <n v="1343"/>
    <n v="0.48"/>
    <n v="0"/>
    <s v="Not provided"/>
    <n v="644"/>
    <x v="1"/>
    <x v="0"/>
  </r>
  <r>
    <s v="2PCS/LOT Solar LED Outdoor Intelligent Light Controlled Wall Lamp"/>
    <n v="790"/>
    <n v="1485"/>
    <n v="0.47"/>
    <n v="0"/>
    <s v="Not provided"/>
    <n v="695"/>
    <x v="1"/>
    <x v="0"/>
  </r>
  <r>
    <s v="Genebre 115 In 1 Screwdriver Repairing Tool Set For IPhone Cellphone Hand Tool"/>
    <n v="799"/>
    <n v="999"/>
    <n v="0.2"/>
    <n v="12"/>
    <n v="4.0999999999999996"/>
    <n v="200"/>
    <x v="0"/>
    <x v="1"/>
  </r>
  <r>
    <s v="Cute Christmas Fence Garden Decorations For Holiday Home"/>
    <n v="799"/>
    <n v="1343"/>
    <n v="0.41"/>
    <n v="0"/>
    <s v="Not provided"/>
    <n v="544"/>
    <x v="1"/>
    <x v="0"/>
  </r>
  <r>
    <s v="Angle Measuring Tool Full Metal Multi Angle Measuring Tool"/>
    <n v="799"/>
    <n v="1567"/>
    <n v="0.49"/>
    <n v="0"/>
    <s v="Not provided"/>
    <n v="768"/>
    <x v="1"/>
    <x v="0"/>
  </r>
  <r>
    <s v="Outdoor Portable Water Bottle With Medicine Box - 600ML - Black"/>
    <n v="799"/>
    <n v="900"/>
    <n v="0.11"/>
    <n v="0"/>
    <s v="Not provided"/>
    <n v="101"/>
    <x v="1"/>
    <x v="2"/>
  </r>
  <r>
    <s v="Wall Clock With Hidden Safe Box"/>
    <n v="850"/>
    <n v="1700"/>
    <n v="0.5"/>
    <n v="0"/>
    <s v="Not provided"/>
    <n v="850"/>
    <x v="1"/>
    <x v="0"/>
  </r>
  <r>
    <s v="LED Romantic Spaceship Starry Sky Projector,Children's Bedroom Night Light-Blue"/>
    <n v="880"/>
    <n v="1350"/>
    <n v="0.35"/>
    <n v="6"/>
    <n v="4"/>
    <n v="470"/>
    <x v="0"/>
    <x v="1"/>
  </r>
  <r>
    <s v="6 Layers Steel Pipe Assembling Dustproof Storage Shoe Cabinet"/>
    <n v="899"/>
    <n v="1699"/>
    <n v="0.47"/>
    <n v="0"/>
    <s v="Not provided"/>
    <n v="800"/>
    <x v="1"/>
    <x v="0"/>
  </r>
  <r>
    <s v="115  Piece Set Of Multifunctional Precision Screwdrivers"/>
    <n v="950"/>
    <n v="1525"/>
    <n v="0.38"/>
    <n v="2"/>
    <n v="4.5"/>
    <n v="575"/>
    <x v="2"/>
    <x v="1"/>
  </r>
  <r>
    <s v="7-piece Set Of Storage Bags, Travel Storage Bags, Shoe Bags"/>
    <n v="968"/>
    <n v="1814"/>
    <n v="0.47"/>
    <n v="6"/>
    <n v="2.2000000000000002"/>
    <n v="846"/>
    <x v="3"/>
    <x v="0"/>
  </r>
  <r>
    <s v="Bedroom Simple Floor Hanging Clothes Rack Single Pole Hat Rack - White"/>
    <n v="979"/>
    <n v="1920"/>
    <n v="0.49"/>
    <n v="1"/>
    <n v="5"/>
    <n v="941"/>
    <x v="2"/>
    <x v="0"/>
  </r>
  <r>
    <s v="12 Litre Insulated Lunch Box Grey"/>
    <n v="980"/>
    <n v="1490"/>
    <n v="0.34"/>
    <n v="12"/>
    <n v="4.7"/>
    <n v="510"/>
    <x v="2"/>
    <x v="1"/>
  </r>
  <r>
    <s v="Desk Foldable Fan Adjustable Fan Strong Wind 3 Gear Usb"/>
    <n v="988"/>
    <n v="1580"/>
    <n v="0.37"/>
    <n v="2"/>
    <n v="4"/>
    <n v="592"/>
    <x v="0"/>
    <x v="1"/>
  </r>
  <r>
    <s v="100 Pcs Crochet Hook Tool Set Knitting Hook Set With Box"/>
    <n v="990"/>
    <n v="1500"/>
    <n v="0.34"/>
    <n v="39"/>
    <n v="4.7"/>
    <n v="510"/>
    <x v="2"/>
    <x v="1"/>
  </r>
  <r>
    <s v="Artificial Potted Flowers Room Decorative Flowers (2 Pieces)"/>
    <n v="990"/>
    <n v="1814"/>
    <n v="0.45"/>
    <n v="6"/>
    <n v="2.2000000000000002"/>
    <n v="824"/>
    <x v="3"/>
    <x v="0"/>
  </r>
  <r>
    <s v="3D Waterproof EVA Plastic Shower Curtain 1.8*2Mtrs"/>
    <n v="998"/>
    <n v="1966"/>
    <n v="0.49"/>
    <n v="44"/>
    <n v="4.5999999999999996"/>
    <n v="968"/>
    <x v="2"/>
    <x v="0"/>
  </r>
  <r>
    <s v="Christmas Elk Fence Yard Lawn Decorations Cute For Holidays"/>
    <n v="999"/>
    <n v="2000"/>
    <n v="0.5"/>
    <n v="0"/>
    <s v="Not provided"/>
    <n v="1001"/>
    <x v="1"/>
    <x v="0"/>
  </r>
  <r>
    <s v="380ML USB Rechargeable Portable Small Blenders And Juicers"/>
    <n v="1000"/>
    <n v="2000"/>
    <n v="0.5"/>
    <n v="7"/>
    <n v="2.2999999999999998"/>
    <n v="1000"/>
    <x v="3"/>
    <x v="0"/>
  </r>
  <r>
    <s v="8in1 Screwdriver With LED Light"/>
    <n v="1080"/>
    <n v="1874"/>
    <n v="0.42"/>
    <n v="0"/>
    <s v="Not provided"/>
    <n v="794"/>
    <x v="1"/>
    <x v="0"/>
  </r>
  <r>
    <s v="LED Solar Street Light-fake Camera"/>
    <n v="1150"/>
    <n v="1737"/>
    <n v="0.34"/>
    <n v="0"/>
    <s v="Not provided"/>
    <n v="587"/>
    <x v="1"/>
    <x v="1"/>
  </r>
  <r>
    <s v="Memory Foam Neck Pillow Cover, With Pillow Core - 50*30cm"/>
    <n v="1189"/>
    <n v="2199"/>
    <n v="0.46"/>
    <n v="1"/>
    <n v="3"/>
    <n v="1010"/>
    <x v="0"/>
    <x v="0"/>
  </r>
  <r>
    <s v="60W Hot Melt Glue Sprayer - Efficient And Stable Glue Dispensing"/>
    <n v="1190"/>
    <n v="1785"/>
    <n v="0.33"/>
    <n v="0"/>
    <s v="Not provided"/>
    <n v="595"/>
    <x v="1"/>
    <x v="1"/>
  </r>
  <r>
    <s v="Cartoon Embroidered Mini Towel Bear Cotton Wash Cloth Hand 4pcs"/>
    <n v="1190"/>
    <n v="1810"/>
    <n v="0.34"/>
    <n v="0"/>
    <s v="Not provided"/>
    <n v="620"/>
    <x v="1"/>
    <x v="1"/>
  </r>
  <r>
    <s v="2pcs Solar Street Light Flood Light Outdoor"/>
    <n v="1200"/>
    <n v="1950"/>
    <n v="0.38"/>
    <n v="0"/>
    <s v="Not provided"/>
    <n v="750"/>
    <x v="1"/>
    <x v="1"/>
  </r>
  <r>
    <s v="2PCS Ice Silk Square Cushion Cover Pillowcases - 65x65cm"/>
    <n v="1200"/>
    <n v="2400"/>
    <n v="0.5"/>
    <n v="0"/>
    <s v="Not provided"/>
    <n v="1200"/>
    <x v="1"/>
    <x v="0"/>
  </r>
  <r>
    <s v="VIC Wireless Vacuum Cleaner Dual Use For Home And Car 120W High Power Powerful"/>
    <n v="1220"/>
    <n v="1555"/>
    <n v="0.22"/>
    <n v="16"/>
    <n v="2.9"/>
    <n v="335"/>
    <x v="3"/>
    <x v="1"/>
  </r>
  <r>
    <s v="LASA FOLDING TABLE SERVING STAND"/>
    <n v="1274"/>
    <n v="2800"/>
    <n v="0.55000000000000004"/>
    <n v="5"/>
    <n v="4.8"/>
    <n v="1526"/>
    <x v="2"/>
    <x v="0"/>
  </r>
  <r>
    <s v="Portable Wine Table With Folding Round Table"/>
    <n v="1300"/>
    <n v="2500"/>
    <n v="0.48"/>
    <n v="0"/>
    <s v="Not provided"/>
    <n v="1200"/>
    <x v="1"/>
    <x v="0"/>
  </r>
  <r>
    <s v="12 Litre Black Insulated Lunch Box"/>
    <n v="1350"/>
    <n v="1990"/>
    <n v="0.32"/>
    <n v="13"/>
    <n v="3.8"/>
    <n v="640"/>
    <x v="0"/>
    <x v="1"/>
  </r>
  <r>
    <s v="9pcs Gas Mask, For Painting, Dust, Formaldehyde Grinding, Polishing"/>
    <n v="1420"/>
    <n v="2420"/>
    <n v="0.41"/>
    <n v="0"/>
    <s v="Not provided"/>
    <n v="1000"/>
    <x v="1"/>
    <x v="0"/>
  </r>
  <r>
    <s v="Multi-purpose Rice Drainage Basket And Fruit And Vegetable Drainage Sieve"/>
    <n v="1459"/>
    <n v="1499"/>
    <n v="0.03"/>
    <n v="0"/>
    <s v="Not provided"/>
    <n v="40"/>
    <x v="1"/>
    <x v="2"/>
  </r>
  <r>
    <s v="5m Waterproof Spherical LED String Lights Outdoor Ball Chain Lights Party Lighting Decoration Adjustable"/>
    <n v="1460"/>
    <n v="2290"/>
    <n v="0.36"/>
    <n v="0"/>
    <s v="Not provided"/>
    <n v="830"/>
    <x v="1"/>
    <x v="1"/>
  </r>
  <r>
    <s v="Portable Soap Dispenser Kitchen Detergent Press Box Kitchen Tools"/>
    <n v="1462"/>
    <n v="1499"/>
    <n v="0.02"/>
    <n v="0"/>
    <s v="Not provided"/>
    <n v="37"/>
    <x v="1"/>
    <x v="2"/>
  </r>
  <r>
    <s v="Office Chair Lumbar Back Support Spine Posture Correction Pillow Car Cushion"/>
    <n v="1466"/>
    <n v="1699"/>
    <n v="0.14000000000000001"/>
    <n v="0"/>
    <s v="Not provided"/>
    <n v="233"/>
    <x v="1"/>
    <x v="2"/>
  </r>
  <r>
    <s v="Wall-Mounted Toothbrush Toothpaste Holder With Multiple Slots"/>
    <n v="1468"/>
    <n v="1699"/>
    <n v="0.14000000000000001"/>
    <n v="0"/>
    <s v="Not provided"/>
    <n v="231"/>
    <x v="1"/>
    <x v="2"/>
  </r>
  <r>
    <s v="Wall Mount Automatic Toothpaste Dispenser Toothbrush Holder Toothpaste Squeezer"/>
    <n v="1526"/>
    <n v="1660"/>
    <n v="0.08"/>
    <n v="0"/>
    <s v="Not provided"/>
    <n v="134"/>
    <x v="1"/>
    <x v="2"/>
  </r>
  <r>
    <s v="Electric LED UV Mosquito Killer Lamp, Outdoor/Indoor Fly Killer Trap Light -USB"/>
    <n v="1570"/>
    <n v="2988"/>
    <n v="0.47"/>
    <n v="7"/>
    <n v="2.1"/>
    <n v="1418"/>
    <x v="3"/>
    <x v="0"/>
  </r>
  <r>
    <s v="Weighing Scale Digital Bathroom Body Fat Scale USB-Black"/>
    <n v="1580"/>
    <n v="2499"/>
    <n v="0.37"/>
    <n v="7"/>
    <n v="4.7"/>
    <n v="919"/>
    <x v="2"/>
    <x v="1"/>
  </r>
  <r>
    <s v="13 In 1 Home Repair Tools Box Kit Set"/>
    <n v="1600"/>
    <n v="2929"/>
    <n v="0.45"/>
    <n v="5"/>
    <n v="3.8"/>
    <n v="1329"/>
    <x v="0"/>
    <x v="0"/>
  </r>
  <r>
    <s v="DIY File Folder, Office Drawer File Holder, Pen Holder, Desktop Storage Rack"/>
    <n v="1620"/>
    <n v="2690"/>
    <n v="0.4"/>
    <n v="1"/>
    <n v="5"/>
    <n v="1070"/>
    <x v="2"/>
    <x v="1"/>
  </r>
  <r>
    <s v="Foldable Overbed Table/Desk"/>
    <n v="1650"/>
    <n v="2150"/>
    <n v="0.23"/>
    <n v="14"/>
    <n v="4.4000000000000004"/>
    <n v="500"/>
    <x v="0"/>
    <x v="1"/>
  </r>
  <r>
    <s v="Shower Nozzle Cleaning Unclogging Needle Mini Crevice Small Hole Cleaning Brush"/>
    <n v="1658"/>
    <n v="1699"/>
    <n v="0.02"/>
    <n v="0"/>
    <s v="Not provided"/>
    <n v="41"/>
    <x v="1"/>
    <x v="2"/>
  </r>
  <r>
    <s v="Pen Grips For Kids Pen Grip Posture Correction Tool For Kids"/>
    <n v="1660"/>
    <n v="1699"/>
    <n v="0.02"/>
    <n v="0"/>
    <s v="Not provided"/>
    <n v="39"/>
    <x v="1"/>
    <x v="2"/>
  </r>
  <r>
    <s v="2 Pairs Cowhide Split Leather Work Gloves.32â„‰ Or Above Welding Gloves"/>
    <n v="1666"/>
    <n v="1699"/>
    <n v="0.02"/>
    <n v="0"/>
    <s v="Not provided"/>
    <n v="33"/>
    <x v="1"/>
    <x v="2"/>
  </r>
  <r>
    <s v="Multifunction Laser Level With Adjustment Tripod"/>
    <n v="1680"/>
    <n v="2499"/>
    <n v="0.33"/>
    <n v="9"/>
    <n v="4.2"/>
    <n v="819"/>
    <x v="0"/>
    <x v="1"/>
  </r>
  <r>
    <s v="Cushion Silicone Butt Cushion Summer Ice Cushion Honeycomb Gel Cushion"/>
    <n v="1732"/>
    <n v="1799"/>
    <n v="0.04"/>
    <n v="0"/>
    <s v="Not provided"/>
    <n v="67"/>
    <x v="1"/>
    <x v="2"/>
  </r>
  <r>
    <s v="Portable Home Small Air Humidifier 3-Speed Fan - Green"/>
    <n v="1740"/>
    <n v="2356"/>
    <n v="0.26"/>
    <n v="5"/>
    <n v="4.8"/>
    <n v="616"/>
    <x v="2"/>
    <x v="1"/>
  </r>
  <r>
    <s v="52 Pieces Cake Decorating Tool Set Gift Kit Baking Supplies"/>
    <n v="1758"/>
    <n v="2499"/>
    <n v="0.3"/>
    <n v="20"/>
    <n v="4.0999999999999996"/>
    <n v="741"/>
    <x v="0"/>
    <x v="1"/>
  </r>
  <r>
    <s v="Thickening Multipurpose Non Stick Easy To Clean Heat Resistant Spoon Pad"/>
    <n v="1768"/>
    <n v="1799"/>
    <n v="0.02"/>
    <n v="0"/>
    <s v="Not provided"/>
    <n v="31"/>
    <x v="1"/>
    <x v="2"/>
  </r>
  <r>
    <s v="1/2/3 Seater Elastic Sofa Cover,Living Room/Home Decor Chair Cover-Grey"/>
    <n v="1800"/>
    <n v="2700"/>
    <n v="0.38"/>
    <n v="2"/>
    <n v="4.5"/>
    <n v="900"/>
    <x v="2"/>
    <x v="1"/>
  </r>
  <r>
    <s v="LED Eye Protection  Desk Lamp , Study, Reading, USB Fan - Double Pen Holder"/>
    <n v="1820"/>
    <n v="3490"/>
    <n v="0.48"/>
    <n v="9"/>
    <n v="4.3"/>
    <n v="1670"/>
    <x v="0"/>
    <x v="0"/>
  </r>
  <r>
    <s v="4pcs Bathroom/Kitchen Towel Rack,Roll Paper Holder,Towel Bars,Hook"/>
    <n v="1860"/>
    <n v="3220"/>
    <n v="0.42"/>
    <n v="0"/>
    <s v="Not provided"/>
    <n v="1360"/>
    <x v="1"/>
    <x v="0"/>
  </r>
  <r>
    <s v="24 Grid Wall-mounted Sundries Organiser Fabric Closet Bag Storage Rack"/>
    <n v="1875"/>
    <n v="1899"/>
    <n v="0.01"/>
    <n v="0"/>
    <s v="Not provided"/>
    <n v="24"/>
    <x v="1"/>
    <x v="2"/>
  </r>
  <r>
    <s v="53Pcs/Set Yarn Knitting Crochet Hooks With Bag - Fortune Cat"/>
    <n v="1940"/>
    <n v="2650"/>
    <n v="0.27"/>
    <n v="20"/>
    <n v="4.7"/>
    <n v="710"/>
    <x v="2"/>
    <x v="1"/>
  </r>
  <r>
    <s v="53 Pieces/Set Yarn Knitting Crochet Hooks With Bag - Pansies"/>
    <n v="1980"/>
    <n v="2699"/>
    <n v="0.27"/>
    <n v="32"/>
    <n v="4.5"/>
    <n v="719"/>
    <x v="2"/>
    <x v="1"/>
  </r>
  <r>
    <s v="LASA Aluminum Folding Truck Hand Cart - 68kg Max"/>
    <n v="2025"/>
    <n v="3971"/>
    <n v="0.49"/>
    <n v="3"/>
    <n v="5"/>
    <n v="1946"/>
    <x v="2"/>
    <x v="0"/>
  </r>
  <r>
    <s v="LASA 3 Tier Bamboo Shoe Bench Storage Shelf"/>
    <n v="2048"/>
    <n v="4500"/>
    <n v="0.54"/>
    <n v="7"/>
    <n v="4.3"/>
    <n v="2452"/>
    <x v="0"/>
    <x v="0"/>
  </r>
  <r>
    <m/>
    <n v="1469.108695652174"/>
    <n v="2220.6521739130435"/>
    <n v="0.31086956521739134"/>
    <m/>
    <n v="4.6500000000000004"/>
    <m/>
    <x v="4"/>
    <x v="3"/>
  </r>
  <r>
    <s v="5-PCS Stainless Steel Cooking Pot Set With Steamed Slices"/>
    <n v="2115"/>
    <n v="4700"/>
    <n v="0.55000000000000004"/>
    <n v="13"/>
    <n v="2.1"/>
    <n v="2585"/>
    <x v="3"/>
    <x v="0"/>
  </r>
  <r>
    <s v="Shower Cap Wide Elastic Band Cover Reusable Bashroom Cap"/>
    <n v="2132"/>
    <n v="2169"/>
    <n v="0.02"/>
    <n v="0"/>
    <s v="Not provided"/>
    <n v="37"/>
    <x v="1"/>
    <x v="2"/>
  </r>
  <r>
    <s v="5 Pieces/set Of Stainless Steel Induction Cooker Pots"/>
    <n v="2170"/>
    <n v="2500"/>
    <n v="0.13"/>
    <n v="6"/>
    <n v="2.5"/>
    <n v="330"/>
    <x v="3"/>
    <x v="2"/>
  </r>
  <r>
    <s v="Portable Mini Cordless Car Vacuum Cleaner - Blue"/>
    <n v="2199"/>
    <n v="2923"/>
    <n v="0.25"/>
    <n v="24"/>
    <n v="4.5999999999999996"/>
    <n v="724"/>
    <x v="2"/>
    <x v="1"/>
  </r>
  <r>
    <s v="MultiFunctional Storage Rack Multi-layer Bookshelf"/>
    <n v="2200"/>
    <n v="4080"/>
    <n v="0.46"/>
    <n v="0"/>
    <s v="Not provided"/>
    <n v="1880"/>
    <x v="1"/>
    <x v="0"/>
  </r>
  <r>
    <s v="Large Lazy Inflatable Sofa Chairs PVC Lounger Seat Bag"/>
    <n v="2300"/>
    <n v="3240"/>
    <n v="0.28999999999999998"/>
    <n v="5"/>
    <n v="3"/>
    <n v="940"/>
    <x v="0"/>
    <x v="1"/>
  </r>
  <r>
    <s v="137 Pieces Cake Decorating Tool Set Baking Supplies"/>
    <n v="2319"/>
    <n v="3032"/>
    <n v="0.24"/>
    <n v="55"/>
    <n v="4.5999999999999996"/>
    <n v="713"/>
    <x v="2"/>
    <x v="1"/>
  </r>
  <r>
    <s v="LASA Stainless Steel Double Wall Mount Soap Dispenser - 500ml"/>
    <n v="2750"/>
    <n v="4471"/>
    <n v="0.38"/>
    <n v="0"/>
    <s v="Not provided"/>
    <n v="1721"/>
    <x v="1"/>
    <x v="1"/>
  </r>
  <r>
    <s v="12V 19500rpm Handheld Electric Angle Grinder Tool - UK - Yellow/Black"/>
    <n v="2799"/>
    <n v="3810"/>
    <n v="0.27"/>
    <n v="0"/>
    <s v="Not provided"/>
    <n v="1011"/>
    <x v="1"/>
    <x v="1"/>
  </r>
  <r>
    <s v="Portable Wardrobe Nonwoven With 3 Hanging Rods And 6 Storage Shelves"/>
    <n v="2880"/>
    <n v="3520"/>
    <n v="0.18"/>
    <n v="12"/>
    <n v="3.8"/>
    <n v="640"/>
    <x v="0"/>
    <x v="2"/>
  </r>
  <r>
    <s v="220V 60W Electric Soldering Iron Kits With Tools, Tips, And Multimeter"/>
    <n v="2999"/>
    <n v="3290"/>
    <n v="0.09"/>
    <n v="15"/>
    <n v="4"/>
    <n v="291"/>
    <x v="0"/>
    <x v="2"/>
  </r>
  <r>
    <s v="LED Wall Digital Alarm Clock Study Home 12 / 24H Clock Calendar"/>
    <n v="2999"/>
    <n v="3699"/>
    <n v="0.19"/>
    <n v="5"/>
    <n v="4.5999999999999996"/>
    <n v="700"/>
    <x v="2"/>
    <x v="2"/>
  </r>
  <r>
    <s v="Metal Wall Clock Silver Dial Crystal Jewelry Round Home Decoration Wall Clock"/>
    <n v="3546"/>
    <n v="3699"/>
    <n v="0.04"/>
    <n v="0"/>
    <s v="Not provided"/>
    <n v="153"/>
    <x v="1"/>
    <x v="2"/>
  </r>
  <r>
    <s v="Konka Healty Electric Kettle, 24-hour Heat Preservation,1.5L,800W, White"/>
    <n v="3640"/>
    <n v="4588"/>
    <n v="0.21"/>
    <n v="1"/>
    <n v="5"/>
    <n v="948"/>
    <x v="2"/>
    <x v="1"/>
  </r>
  <r>
    <s v="32PCS Portable Cordless Drill Set With Cyclic Battery Drive -26 Variable Speed"/>
    <n v="3750"/>
    <n v="6143"/>
    <n v="0.39"/>
    <n v="5"/>
    <n v="3"/>
    <n v="2393"/>
    <x v="0"/>
    <x v="1"/>
  </r>
  <r>
    <m/>
    <n v="3750"/>
    <n v="6143"/>
    <n v="0.39"/>
    <m/>
    <n v="5"/>
    <m/>
    <x v="4"/>
    <x v="3"/>
  </r>
  <r>
    <m/>
    <m/>
    <m/>
    <n v="0.36726433243555212"/>
    <m/>
    <n v="3.9025862068965518"/>
    <m/>
    <x v="4"/>
    <x v="3"/>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6">
  <r>
    <x v="0"/>
    <x v="0"/>
    <n v="80"/>
    <x v="0"/>
    <n v="13"/>
    <x v="0"/>
    <n v="42"/>
    <x v="0"/>
    <x v="0"/>
  </r>
  <r>
    <x v="1"/>
    <x v="1"/>
    <n v="200"/>
    <x v="1"/>
    <n v="0"/>
    <x v="1"/>
    <n v="95"/>
    <x v="1"/>
    <x v="0"/>
  </r>
  <r>
    <x v="2"/>
    <x v="2"/>
    <n v="320"/>
    <x v="2"/>
    <n v="0"/>
    <x v="1"/>
    <n v="151"/>
    <x v="1"/>
    <x v="0"/>
  </r>
  <r>
    <x v="3"/>
    <x v="3"/>
    <n v="360"/>
    <x v="0"/>
    <n v="2"/>
    <x v="2"/>
    <n v="189"/>
    <x v="2"/>
    <x v="0"/>
  </r>
  <r>
    <x v="4"/>
    <x v="4"/>
    <n v="345"/>
    <x v="3"/>
    <n v="0"/>
    <x v="1"/>
    <n v="169"/>
    <x v="1"/>
    <x v="0"/>
  </r>
  <r>
    <x v="5"/>
    <x v="5"/>
    <n v="382"/>
    <x v="4"/>
    <n v="9"/>
    <x v="3"/>
    <n v="197"/>
    <x v="0"/>
    <x v="0"/>
  </r>
  <r>
    <x v="6"/>
    <x v="6"/>
    <n v="360"/>
    <x v="5"/>
    <n v="2"/>
    <x v="2"/>
    <n v="165"/>
    <x v="2"/>
    <x v="0"/>
  </r>
  <r>
    <x v="7"/>
    <x v="7"/>
    <n v="260"/>
    <x v="6"/>
    <n v="0"/>
    <x v="1"/>
    <n v="62"/>
    <x v="1"/>
    <x v="1"/>
  </r>
  <r>
    <x v="4"/>
    <x v="8"/>
    <n v="504"/>
    <x v="7"/>
    <n v="0"/>
    <x v="1"/>
    <n v="305"/>
    <x v="1"/>
    <x v="0"/>
  </r>
  <r>
    <x v="8"/>
    <x v="8"/>
    <n v="553"/>
    <x v="8"/>
    <n v="0"/>
    <x v="1"/>
    <n v="354"/>
    <x v="1"/>
    <x v="0"/>
  </r>
  <r>
    <x v="9"/>
    <x v="9"/>
    <n v="450"/>
    <x v="3"/>
    <n v="0"/>
    <x v="1"/>
    <n v="220"/>
    <x v="1"/>
    <x v="0"/>
  </r>
  <r>
    <x v="10"/>
    <x v="10"/>
    <n v="476"/>
    <x v="9"/>
    <n v="0"/>
    <x v="1"/>
    <n v="238"/>
    <x v="1"/>
    <x v="0"/>
  </r>
  <r>
    <x v="11"/>
    <x v="11"/>
    <n v="486"/>
    <x v="3"/>
    <n v="0"/>
    <x v="1"/>
    <n v="238"/>
    <x v="1"/>
    <x v="0"/>
  </r>
  <r>
    <x v="12"/>
    <x v="12"/>
    <n v="537"/>
    <x v="3"/>
    <n v="0"/>
    <x v="1"/>
    <n v="263"/>
    <x v="1"/>
    <x v="0"/>
  </r>
  <r>
    <x v="13"/>
    <x v="13"/>
    <n v="600"/>
    <x v="9"/>
    <n v="0"/>
    <x v="1"/>
    <n v="301"/>
    <x v="1"/>
    <x v="0"/>
  </r>
  <r>
    <x v="14"/>
    <x v="13"/>
    <n v="384"/>
    <x v="10"/>
    <n v="0"/>
    <x v="1"/>
    <n v="85"/>
    <x v="1"/>
    <x v="1"/>
  </r>
  <r>
    <x v="15"/>
    <x v="14"/>
    <n v="680"/>
    <x v="4"/>
    <n v="15"/>
    <x v="4"/>
    <n v="355"/>
    <x v="3"/>
    <x v="0"/>
  </r>
  <r>
    <x v="16"/>
    <x v="15"/>
    <n v="647"/>
    <x v="3"/>
    <n v="1"/>
    <x v="5"/>
    <n v="317"/>
    <x v="0"/>
    <x v="0"/>
  </r>
  <r>
    <x v="17"/>
    <x v="16"/>
    <n v="684"/>
    <x v="11"/>
    <n v="2"/>
    <x v="2"/>
    <n v="352"/>
    <x v="2"/>
    <x v="0"/>
  </r>
  <r>
    <x v="18"/>
    <x v="17"/>
    <n v="602"/>
    <x v="12"/>
    <n v="6"/>
    <x v="6"/>
    <n v="257"/>
    <x v="3"/>
    <x v="0"/>
  </r>
  <r>
    <x v="19"/>
    <x v="18"/>
    <n v="700"/>
    <x v="13"/>
    <n v="17"/>
    <x v="7"/>
    <n v="318"/>
    <x v="3"/>
    <x v="0"/>
  </r>
  <r>
    <x v="20"/>
    <x v="19"/>
    <n v="656"/>
    <x v="14"/>
    <n v="36"/>
    <x v="3"/>
    <n v="267"/>
    <x v="0"/>
    <x v="0"/>
  </r>
  <r>
    <x v="21"/>
    <x v="20"/>
    <n v="896"/>
    <x v="15"/>
    <n v="0"/>
    <x v="1"/>
    <n v="497"/>
    <x v="1"/>
    <x v="0"/>
  </r>
  <r>
    <x v="22"/>
    <x v="21"/>
    <n v="647"/>
    <x v="16"/>
    <n v="49"/>
    <x v="8"/>
    <n v="227"/>
    <x v="2"/>
    <x v="1"/>
  </r>
  <r>
    <x v="23"/>
    <x v="22"/>
    <n v="873"/>
    <x v="3"/>
    <n v="69"/>
    <x v="9"/>
    <n v="428"/>
    <x v="3"/>
    <x v="0"/>
  </r>
  <r>
    <x v="24"/>
    <x v="23"/>
    <n v="900"/>
    <x v="9"/>
    <n v="1"/>
    <x v="10"/>
    <n v="450"/>
    <x v="3"/>
    <x v="0"/>
  </r>
  <r>
    <x v="25"/>
    <x v="24"/>
    <n v="986"/>
    <x v="17"/>
    <n v="10"/>
    <x v="11"/>
    <n v="528"/>
    <x v="0"/>
    <x v="0"/>
  </r>
  <r>
    <x v="26"/>
    <x v="25"/>
    <n v="931"/>
    <x v="3"/>
    <n v="0"/>
    <x v="1"/>
    <n v="456"/>
    <x v="1"/>
    <x v="0"/>
  </r>
  <r>
    <x v="21"/>
    <x v="26"/>
    <n v="900"/>
    <x v="13"/>
    <n v="0"/>
    <x v="1"/>
    <n v="401"/>
    <x v="1"/>
    <x v="0"/>
  </r>
  <r>
    <x v="27"/>
    <x v="27"/>
    <n v="860"/>
    <x v="18"/>
    <n v="6"/>
    <x v="12"/>
    <n v="359"/>
    <x v="2"/>
    <x v="0"/>
  </r>
  <r>
    <x v="28"/>
    <x v="28"/>
    <n v="899"/>
    <x v="12"/>
    <n v="5"/>
    <x v="11"/>
    <n v="390"/>
    <x v="0"/>
    <x v="0"/>
  </r>
  <r>
    <x v="29"/>
    <x v="29"/>
    <n v="1029"/>
    <x v="3"/>
    <n v="0"/>
    <x v="1"/>
    <n v="504"/>
    <x v="1"/>
    <x v="0"/>
  </r>
  <r>
    <x v="30"/>
    <x v="30"/>
    <n v="999"/>
    <x v="2"/>
    <n v="14"/>
    <x v="13"/>
    <n v="472"/>
    <x v="0"/>
    <x v="0"/>
  </r>
  <r>
    <x v="31"/>
    <x v="31"/>
    <n v="1035"/>
    <x v="2"/>
    <n v="12"/>
    <x v="14"/>
    <n v="483"/>
    <x v="2"/>
    <x v="0"/>
  </r>
  <r>
    <x v="32"/>
    <x v="32"/>
    <n v="1060"/>
    <x v="18"/>
    <n v="0"/>
    <x v="1"/>
    <n v="450"/>
    <x v="1"/>
    <x v="0"/>
  </r>
  <r>
    <x v="33"/>
    <x v="33"/>
    <n v="1100"/>
    <x v="12"/>
    <n v="0"/>
    <x v="1"/>
    <n v="470"/>
    <x v="1"/>
    <x v="0"/>
  </r>
  <r>
    <x v="34"/>
    <x v="34"/>
    <n v="1288"/>
    <x v="3"/>
    <n v="0"/>
    <x v="1"/>
    <n v="631"/>
    <x v="1"/>
    <x v="0"/>
  </r>
  <r>
    <x v="35"/>
    <x v="35"/>
    <n v="1316"/>
    <x v="3"/>
    <n v="0"/>
    <x v="1"/>
    <n v="645"/>
    <x v="1"/>
    <x v="0"/>
  </r>
  <r>
    <x v="36"/>
    <x v="36"/>
    <n v="1200"/>
    <x v="12"/>
    <n v="0"/>
    <x v="1"/>
    <n v="510"/>
    <x v="1"/>
    <x v="0"/>
  </r>
  <r>
    <x v="37"/>
    <x v="37"/>
    <n v="1343"/>
    <x v="1"/>
    <n v="0"/>
    <x v="1"/>
    <n v="644"/>
    <x v="1"/>
    <x v="0"/>
  </r>
  <r>
    <x v="38"/>
    <x v="38"/>
    <n v="1485"/>
    <x v="2"/>
    <n v="0"/>
    <x v="1"/>
    <n v="695"/>
    <x v="1"/>
    <x v="0"/>
  </r>
  <r>
    <x v="39"/>
    <x v="39"/>
    <n v="999"/>
    <x v="19"/>
    <n v="12"/>
    <x v="13"/>
    <n v="200"/>
    <x v="0"/>
    <x v="1"/>
  </r>
  <r>
    <x v="40"/>
    <x v="39"/>
    <n v="1343"/>
    <x v="14"/>
    <n v="0"/>
    <x v="1"/>
    <n v="544"/>
    <x v="1"/>
    <x v="0"/>
  </r>
  <r>
    <x v="34"/>
    <x v="39"/>
    <n v="1567"/>
    <x v="3"/>
    <n v="0"/>
    <x v="1"/>
    <n v="768"/>
    <x v="1"/>
    <x v="0"/>
  </r>
  <r>
    <x v="41"/>
    <x v="39"/>
    <n v="900"/>
    <x v="20"/>
    <n v="0"/>
    <x v="1"/>
    <n v="101"/>
    <x v="1"/>
    <x v="2"/>
  </r>
  <r>
    <x v="42"/>
    <x v="40"/>
    <n v="1700"/>
    <x v="9"/>
    <n v="0"/>
    <x v="1"/>
    <n v="850"/>
    <x v="1"/>
    <x v="0"/>
  </r>
  <r>
    <x v="43"/>
    <x v="41"/>
    <n v="1350"/>
    <x v="16"/>
    <n v="6"/>
    <x v="5"/>
    <n v="470"/>
    <x v="0"/>
    <x v="1"/>
  </r>
  <r>
    <x v="44"/>
    <x v="42"/>
    <n v="1699"/>
    <x v="2"/>
    <n v="0"/>
    <x v="1"/>
    <n v="800"/>
    <x v="1"/>
    <x v="0"/>
  </r>
  <r>
    <x v="45"/>
    <x v="43"/>
    <n v="1525"/>
    <x v="21"/>
    <n v="2"/>
    <x v="12"/>
    <n v="575"/>
    <x v="2"/>
    <x v="1"/>
  </r>
  <r>
    <x v="46"/>
    <x v="44"/>
    <n v="1814"/>
    <x v="2"/>
    <n v="6"/>
    <x v="15"/>
    <n v="846"/>
    <x v="3"/>
    <x v="0"/>
  </r>
  <r>
    <x v="47"/>
    <x v="45"/>
    <n v="1920"/>
    <x v="3"/>
    <n v="1"/>
    <x v="2"/>
    <n v="941"/>
    <x v="2"/>
    <x v="0"/>
  </r>
  <r>
    <x v="48"/>
    <x v="46"/>
    <n v="1490"/>
    <x v="22"/>
    <n v="12"/>
    <x v="16"/>
    <n v="510"/>
    <x v="2"/>
    <x v="1"/>
  </r>
  <r>
    <x v="49"/>
    <x v="47"/>
    <n v="1580"/>
    <x v="23"/>
    <n v="2"/>
    <x v="5"/>
    <n v="592"/>
    <x v="0"/>
    <x v="1"/>
  </r>
  <r>
    <x v="50"/>
    <x v="48"/>
    <n v="1500"/>
    <x v="22"/>
    <n v="39"/>
    <x v="16"/>
    <n v="510"/>
    <x v="2"/>
    <x v="1"/>
  </r>
  <r>
    <x v="51"/>
    <x v="48"/>
    <n v="1814"/>
    <x v="13"/>
    <n v="6"/>
    <x v="15"/>
    <n v="824"/>
    <x v="3"/>
    <x v="0"/>
  </r>
  <r>
    <x v="52"/>
    <x v="49"/>
    <n v="1966"/>
    <x v="3"/>
    <n v="44"/>
    <x v="8"/>
    <n v="968"/>
    <x v="2"/>
    <x v="0"/>
  </r>
  <r>
    <x v="53"/>
    <x v="50"/>
    <n v="2000"/>
    <x v="9"/>
    <n v="0"/>
    <x v="1"/>
    <n v="1001"/>
    <x v="1"/>
    <x v="0"/>
  </r>
  <r>
    <x v="54"/>
    <x v="51"/>
    <n v="2000"/>
    <x v="9"/>
    <n v="7"/>
    <x v="6"/>
    <n v="1000"/>
    <x v="3"/>
    <x v="0"/>
  </r>
  <r>
    <x v="55"/>
    <x v="52"/>
    <n v="1874"/>
    <x v="18"/>
    <n v="0"/>
    <x v="1"/>
    <n v="794"/>
    <x v="1"/>
    <x v="0"/>
  </r>
  <r>
    <x v="56"/>
    <x v="53"/>
    <n v="1737"/>
    <x v="22"/>
    <n v="0"/>
    <x v="1"/>
    <n v="587"/>
    <x v="1"/>
    <x v="1"/>
  </r>
  <r>
    <x v="57"/>
    <x v="54"/>
    <n v="2199"/>
    <x v="5"/>
    <n v="1"/>
    <x v="11"/>
    <n v="1010"/>
    <x v="0"/>
    <x v="0"/>
  </r>
  <r>
    <x v="58"/>
    <x v="55"/>
    <n v="1785"/>
    <x v="24"/>
    <n v="0"/>
    <x v="1"/>
    <n v="595"/>
    <x v="1"/>
    <x v="1"/>
  </r>
  <r>
    <x v="59"/>
    <x v="55"/>
    <n v="1810"/>
    <x v="22"/>
    <n v="0"/>
    <x v="1"/>
    <n v="620"/>
    <x v="1"/>
    <x v="1"/>
  </r>
  <r>
    <x v="60"/>
    <x v="56"/>
    <n v="1950"/>
    <x v="21"/>
    <n v="0"/>
    <x v="1"/>
    <n v="750"/>
    <x v="1"/>
    <x v="1"/>
  </r>
  <r>
    <x v="61"/>
    <x v="56"/>
    <n v="2400"/>
    <x v="9"/>
    <n v="0"/>
    <x v="1"/>
    <n v="1200"/>
    <x v="1"/>
    <x v="0"/>
  </r>
  <r>
    <x v="62"/>
    <x v="57"/>
    <n v="1555"/>
    <x v="10"/>
    <n v="16"/>
    <x v="17"/>
    <n v="335"/>
    <x v="3"/>
    <x v="1"/>
  </r>
  <r>
    <x v="63"/>
    <x v="58"/>
    <n v="2800"/>
    <x v="15"/>
    <n v="5"/>
    <x v="14"/>
    <n v="1526"/>
    <x v="2"/>
    <x v="0"/>
  </r>
  <r>
    <x v="64"/>
    <x v="59"/>
    <n v="2500"/>
    <x v="1"/>
    <n v="0"/>
    <x v="1"/>
    <n v="1200"/>
    <x v="1"/>
    <x v="0"/>
  </r>
  <r>
    <x v="65"/>
    <x v="60"/>
    <n v="1990"/>
    <x v="25"/>
    <n v="13"/>
    <x v="18"/>
    <n v="640"/>
    <x v="0"/>
    <x v="1"/>
  </r>
  <r>
    <x v="66"/>
    <x v="61"/>
    <n v="2420"/>
    <x v="14"/>
    <n v="0"/>
    <x v="1"/>
    <n v="1000"/>
    <x v="1"/>
    <x v="0"/>
  </r>
  <r>
    <x v="67"/>
    <x v="62"/>
    <n v="1499"/>
    <x v="26"/>
    <n v="0"/>
    <x v="1"/>
    <n v="40"/>
    <x v="1"/>
    <x v="2"/>
  </r>
  <r>
    <x v="68"/>
    <x v="63"/>
    <n v="2290"/>
    <x v="27"/>
    <n v="0"/>
    <x v="1"/>
    <n v="830"/>
    <x v="1"/>
    <x v="1"/>
  </r>
  <r>
    <x v="69"/>
    <x v="64"/>
    <n v="1499"/>
    <x v="28"/>
    <n v="0"/>
    <x v="1"/>
    <n v="37"/>
    <x v="1"/>
    <x v="2"/>
  </r>
  <r>
    <x v="70"/>
    <x v="65"/>
    <n v="1699"/>
    <x v="29"/>
    <n v="0"/>
    <x v="1"/>
    <n v="233"/>
    <x v="1"/>
    <x v="2"/>
  </r>
  <r>
    <x v="71"/>
    <x v="66"/>
    <n v="1699"/>
    <x v="29"/>
    <n v="0"/>
    <x v="1"/>
    <n v="231"/>
    <x v="1"/>
    <x v="2"/>
  </r>
  <r>
    <x v="72"/>
    <x v="67"/>
    <n v="1660"/>
    <x v="30"/>
    <n v="0"/>
    <x v="1"/>
    <n v="134"/>
    <x v="1"/>
    <x v="2"/>
  </r>
  <r>
    <x v="73"/>
    <x v="68"/>
    <n v="2988"/>
    <x v="2"/>
    <n v="7"/>
    <x v="19"/>
    <n v="1418"/>
    <x v="3"/>
    <x v="0"/>
  </r>
  <r>
    <x v="74"/>
    <x v="69"/>
    <n v="2499"/>
    <x v="23"/>
    <n v="7"/>
    <x v="16"/>
    <n v="919"/>
    <x v="2"/>
    <x v="1"/>
  </r>
  <r>
    <x v="75"/>
    <x v="70"/>
    <n v="2929"/>
    <x v="13"/>
    <n v="5"/>
    <x v="18"/>
    <n v="1329"/>
    <x v="0"/>
    <x v="0"/>
  </r>
  <r>
    <x v="76"/>
    <x v="71"/>
    <n v="2690"/>
    <x v="31"/>
    <n v="1"/>
    <x v="2"/>
    <n v="1070"/>
    <x v="2"/>
    <x v="1"/>
  </r>
  <r>
    <x v="77"/>
    <x v="72"/>
    <n v="2150"/>
    <x v="32"/>
    <n v="14"/>
    <x v="20"/>
    <n v="500"/>
    <x v="0"/>
    <x v="1"/>
  </r>
  <r>
    <x v="78"/>
    <x v="73"/>
    <n v="1699"/>
    <x v="28"/>
    <n v="0"/>
    <x v="1"/>
    <n v="41"/>
    <x v="1"/>
    <x v="2"/>
  </r>
  <r>
    <x v="79"/>
    <x v="74"/>
    <n v="1699"/>
    <x v="28"/>
    <n v="0"/>
    <x v="1"/>
    <n v="39"/>
    <x v="1"/>
    <x v="2"/>
  </r>
  <r>
    <x v="80"/>
    <x v="75"/>
    <n v="1699"/>
    <x v="28"/>
    <n v="0"/>
    <x v="1"/>
    <n v="33"/>
    <x v="1"/>
    <x v="2"/>
  </r>
  <r>
    <x v="81"/>
    <x v="76"/>
    <n v="2499"/>
    <x v="24"/>
    <n v="9"/>
    <x v="21"/>
    <n v="819"/>
    <x v="0"/>
    <x v="1"/>
  </r>
  <r>
    <x v="82"/>
    <x v="77"/>
    <n v="1799"/>
    <x v="33"/>
    <n v="0"/>
    <x v="1"/>
    <n v="67"/>
    <x v="1"/>
    <x v="2"/>
  </r>
  <r>
    <x v="83"/>
    <x v="78"/>
    <n v="2356"/>
    <x v="34"/>
    <n v="5"/>
    <x v="14"/>
    <n v="616"/>
    <x v="2"/>
    <x v="1"/>
  </r>
  <r>
    <x v="84"/>
    <x v="79"/>
    <n v="2499"/>
    <x v="35"/>
    <n v="20"/>
    <x v="13"/>
    <n v="741"/>
    <x v="0"/>
    <x v="1"/>
  </r>
  <r>
    <x v="85"/>
    <x v="80"/>
    <n v="1799"/>
    <x v="28"/>
    <n v="0"/>
    <x v="1"/>
    <n v="31"/>
    <x v="1"/>
    <x v="2"/>
  </r>
  <r>
    <x v="86"/>
    <x v="81"/>
    <n v="2700"/>
    <x v="21"/>
    <n v="2"/>
    <x v="12"/>
    <n v="900"/>
    <x v="2"/>
    <x v="1"/>
  </r>
  <r>
    <x v="87"/>
    <x v="82"/>
    <n v="3490"/>
    <x v="1"/>
    <n v="9"/>
    <x v="3"/>
    <n v="1670"/>
    <x v="0"/>
    <x v="0"/>
  </r>
  <r>
    <x v="88"/>
    <x v="83"/>
    <n v="3220"/>
    <x v="18"/>
    <n v="0"/>
    <x v="1"/>
    <n v="1360"/>
    <x v="1"/>
    <x v="0"/>
  </r>
  <r>
    <x v="89"/>
    <x v="84"/>
    <n v="1899"/>
    <x v="36"/>
    <n v="0"/>
    <x v="1"/>
    <n v="24"/>
    <x v="1"/>
    <x v="2"/>
  </r>
  <r>
    <x v="90"/>
    <x v="85"/>
    <n v="2650"/>
    <x v="37"/>
    <n v="20"/>
    <x v="16"/>
    <n v="710"/>
    <x v="2"/>
    <x v="1"/>
  </r>
  <r>
    <x v="91"/>
    <x v="86"/>
    <n v="2699"/>
    <x v="37"/>
    <n v="32"/>
    <x v="12"/>
    <n v="719"/>
    <x v="2"/>
    <x v="1"/>
  </r>
  <r>
    <x v="92"/>
    <x v="87"/>
    <n v="3971"/>
    <x v="3"/>
    <n v="3"/>
    <x v="2"/>
    <n v="1946"/>
    <x v="2"/>
    <x v="0"/>
  </r>
  <r>
    <x v="93"/>
    <x v="88"/>
    <n v="4500"/>
    <x v="17"/>
    <n v="7"/>
    <x v="3"/>
    <n v="2452"/>
    <x v="0"/>
    <x v="0"/>
  </r>
  <r>
    <x v="94"/>
    <x v="89"/>
    <n v="2220.6521739130435"/>
    <x v="38"/>
    <m/>
    <x v="22"/>
    <m/>
    <x v="4"/>
    <x v="3"/>
  </r>
  <r>
    <x v="95"/>
    <x v="90"/>
    <n v="4700"/>
    <x v="15"/>
    <n v="13"/>
    <x v="19"/>
    <n v="2585"/>
    <x v="3"/>
    <x v="0"/>
  </r>
  <r>
    <x v="96"/>
    <x v="91"/>
    <n v="2169"/>
    <x v="28"/>
    <n v="0"/>
    <x v="1"/>
    <n v="37"/>
    <x v="1"/>
    <x v="2"/>
  </r>
  <r>
    <x v="97"/>
    <x v="92"/>
    <n v="2500"/>
    <x v="39"/>
    <n v="6"/>
    <x v="23"/>
    <n v="330"/>
    <x v="3"/>
    <x v="2"/>
  </r>
  <r>
    <x v="98"/>
    <x v="93"/>
    <n v="2923"/>
    <x v="40"/>
    <n v="24"/>
    <x v="8"/>
    <n v="724"/>
    <x v="2"/>
    <x v="1"/>
  </r>
  <r>
    <x v="99"/>
    <x v="94"/>
    <n v="4080"/>
    <x v="5"/>
    <n v="0"/>
    <x v="1"/>
    <n v="1880"/>
    <x v="1"/>
    <x v="0"/>
  </r>
  <r>
    <x v="100"/>
    <x v="95"/>
    <n v="3240"/>
    <x v="41"/>
    <n v="5"/>
    <x v="11"/>
    <n v="940"/>
    <x v="0"/>
    <x v="1"/>
  </r>
  <r>
    <x v="101"/>
    <x v="96"/>
    <n v="3032"/>
    <x v="6"/>
    <n v="55"/>
    <x v="8"/>
    <n v="713"/>
    <x v="2"/>
    <x v="1"/>
  </r>
  <r>
    <x v="102"/>
    <x v="97"/>
    <n v="4471"/>
    <x v="21"/>
    <n v="0"/>
    <x v="1"/>
    <n v="1721"/>
    <x v="1"/>
    <x v="1"/>
  </r>
  <r>
    <x v="103"/>
    <x v="98"/>
    <n v="3810"/>
    <x v="37"/>
    <n v="0"/>
    <x v="1"/>
    <n v="1011"/>
    <x v="1"/>
    <x v="1"/>
  </r>
  <r>
    <x v="104"/>
    <x v="99"/>
    <n v="3520"/>
    <x v="42"/>
    <n v="12"/>
    <x v="18"/>
    <n v="640"/>
    <x v="0"/>
    <x v="2"/>
  </r>
  <r>
    <x v="105"/>
    <x v="100"/>
    <n v="3290"/>
    <x v="43"/>
    <n v="15"/>
    <x v="5"/>
    <n v="291"/>
    <x v="0"/>
    <x v="2"/>
  </r>
  <r>
    <x v="106"/>
    <x v="100"/>
    <n v="3699"/>
    <x v="44"/>
    <n v="5"/>
    <x v="8"/>
    <n v="700"/>
    <x v="2"/>
    <x v="2"/>
  </r>
  <r>
    <x v="107"/>
    <x v="101"/>
    <n v="3699"/>
    <x v="33"/>
    <n v="0"/>
    <x v="1"/>
    <n v="153"/>
    <x v="1"/>
    <x v="2"/>
  </r>
  <r>
    <x v="108"/>
    <x v="102"/>
    <n v="4588"/>
    <x v="45"/>
    <n v="1"/>
    <x v="2"/>
    <n v="948"/>
    <x v="2"/>
    <x v="1"/>
  </r>
  <r>
    <x v="109"/>
    <x v="103"/>
    <n v="6143"/>
    <x v="46"/>
    <n v="5"/>
    <x v="11"/>
    <n v="2393"/>
    <x v="0"/>
    <x v="1"/>
  </r>
  <r>
    <x v="94"/>
    <x v="103"/>
    <n v="6143"/>
    <x v="46"/>
    <m/>
    <x v="2"/>
    <m/>
    <x v="4"/>
    <x v="3"/>
  </r>
  <r>
    <x v="94"/>
    <x v="104"/>
    <m/>
    <x v="47"/>
    <m/>
    <x v="24"/>
    <m/>
    <x v="4"/>
    <x v="3"/>
  </r>
  <r>
    <x v="94"/>
    <x v="104"/>
    <m/>
    <x v="48"/>
    <m/>
    <x v="25"/>
    <m/>
    <x v="4"/>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14E2034-41F3-4472-B2EE-6C057DAD9828}"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3:C5" firstHeaderRow="0" firstDataRow="1" firstDataCol="1"/>
  <pivotFields count="9">
    <pivotField showAll="0"/>
    <pivotField showAll="0"/>
    <pivotField showAll="0"/>
    <pivotField dataField="1" numFmtId="9" showAll="0"/>
    <pivotField showAll="0"/>
    <pivotField dataField="1" showAll="0"/>
    <pivotField showAll="0"/>
    <pivotField showAll="0"/>
    <pivotField axis="axisRow" showAll="0" sortType="ascending">
      <items count="5">
        <item sd="0" x="0"/>
        <item h="1" sd="0" x="2"/>
        <item h="1" sd="0" x="1"/>
        <item h="1" x="3"/>
        <item t="default"/>
      </items>
    </pivotField>
  </pivotFields>
  <rowFields count="1">
    <field x="8"/>
  </rowFields>
  <rowItems count="2">
    <i>
      <x/>
    </i>
    <i t="grand">
      <x/>
    </i>
  </rowItems>
  <colFields count="1">
    <field x="-2"/>
  </colFields>
  <colItems count="2">
    <i>
      <x/>
    </i>
    <i i="1">
      <x v="1"/>
    </i>
  </colItems>
  <dataFields count="2">
    <dataField name="Average of Ratingd" fld="5" subtotal="average" baseField="0" baseItem="0"/>
    <dataField name="Average of Discount Percentage" fld="3" subtotal="average" baseField="8" baseItem="2"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25AED02-EBDE-47ED-89EB-170C230E9FF9}" name="PivotTable1"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F26:H28" firstHeaderRow="0" firstDataRow="1" firstDataCol="1"/>
  <pivotFields count="9">
    <pivotField showAll="0"/>
    <pivotField showAll="0"/>
    <pivotField showAll="0"/>
    <pivotField dataField="1" numFmtId="9" showAll="0"/>
    <pivotField showAll="0"/>
    <pivotField dataField="1" showAll="0"/>
    <pivotField showAll="0"/>
    <pivotField showAll="0"/>
    <pivotField axis="axisRow" showAll="0" sortType="ascending">
      <items count="5">
        <item sd="0" x="0"/>
        <item h="1" sd="0" x="2"/>
        <item h="1" sd="0" x="1"/>
        <item h="1" x="3"/>
        <item t="default"/>
      </items>
    </pivotField>
  </pivotFields>
  <rowFields count="1">
    <field x="8"/>
  </rowFields>
  <rowItems count="2">
    <i>
      <x/>
    </i>
    <i t="grand">
      <x/>
    </i>
  </rowItems>
  <colFields count="1">
    <field x="-2"/>
  </colFields>
  <colItems count="2">
    <i>
      <x/>
    </i>
    <i i="1">
      <x v="1"/>
    </i>
  </colItems>
  <dataFields count="2">
    <dataField name="Average of Ratingd" fld="5" subtotal="average" baseField="0" baseItem="0"/>
    <dataField name="Average of Discount Percentage" fld="3" subtotal="average" baseField="8" baseItem="2"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AE5E24-E79E-4C76-B253-4B376A5A3701}" name="PivotTable2" cacheId="1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3:B7" firstHeaderRow="1" firstDataRow="1" firstDataCol="1"/>
  <pivotFields count="9">
    <pivotField dataField="1" showAll="0"/>
    <pivotField showAll="0"/>
    <pivotField showAll="0"/>
    <pivotField numFmtId="9" showAll="0"/>
    <pivotField showAll="0"/>
    <pivotField showAll="0"/>
    <pivotField showAll="0"/>
    <pivotField axis="axisRow" showAll="0">
      <items count="6">
        <item x="0"/>
        <item x="2"/>
        <item h="1" x="1"/>
        <item x="3"/>
        <item h="1" x="4"/>
        <item t="default"/>
      </items>
    </pivotField>
    <pivotField showAll="0">
      <items count="5">
        <item x="0"/>
        <item h="1" x="2"/>
        <item h="1" x="1"/>
        <item h="1" x="3"/>
        <item t="default"/>
      </items>
    </pivotField>
  </pivotFields>
  <rowFields count="1">
    <field x="7"/>
  </rowFields>
  <rowItems count="4">
    <i>
      <x/>
    </i>
    <i>
      <x v="1"/>
    </i>
    <i>
      <x v="3"/>
    </i>
    <i t="grand">
      <x/>
    </i>
  </rowItems>
  <colItems count="1">
    <i/>
  </colItems>
  <dataFields count="1">
    <dataField name="Count of Product" fld="0" subtotal="count" baseField="0" baseItem="0"/>
  </dataFields>
  <chartFormats count="3">
    <chartFormat chart="0" format="2"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1CF2FEC-3123-407B-8A12-918DB8752C56}" name="PivotTable3"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F4" firstHeaderRow="0" firstDataRow="1" firstDataCol="0"/>
  <pivotFields count="9">
    <pivotField dataField="1" showAll="0"/>
    <pivotField dataField="1"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89"/>
        <item x="67"/>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t="default"/>
      </items>
    </pivotField>
    <pivotField dataField="1" showAll="0"/>
    <pivotField showAll="0"/>
    <pivotField dataField="1" showAll="0"/>
    <pivotField dataField="1" showAll="0"/>
    <pivotField dataField="1" showAll="0"/>
    <pivotField showAll="0">
      <items count="6">
        <item x="0"/>
        <item x="2"/>
        <item x="1"/>
        <item x="3"/>
        <item x="4"/>
        <item t="default"/>
      </items>
    </pivotField>
    <pivotField showAll="0">
      <items count="5">
        <item x="0"/>
        <item x="2"/>
        <item x="1"/>
        <item x="3"/>
        <item t="default"/>
      </items>
    </pivotField>
  </pivotFields>
  <rowItems count="1">
    <i/>
  </rowItems>
  <colFields count="1">
    <field x="-2"/>
  </colFields>
  <colItems count="6">
    <i>
      <x/>
    </i>
    <i i="1">
      <x v="1"/>
    </i>
    <i i="2">
      <x v="2"/>
    </i>
    <i i="3">
      <x v="3"/>
    </i>
    <i i="4">
      <x v="4"/>
    </i>
    <i i="5">
      <x v="5"/>
    </i>
  </colItems>
  <dataFields count="6">
    <dataField name="Average of Current price" fld="1" subtotal="average" baseField="0" baseItem="0"/>
    <dataField name="Sum of Reviewed" fld="4" baseField="0" baseItem="0"/>
    <dataField name="Average of old price" fld="2" subtotal="average" baseField="0" baseItem="1"/>
    <dataField name="Average of Discount Amount" fld="6" subtotal="average" baseField="0" baseItem="2"/>
    <dataField name="Average of Ratingd" fld="5" subtotal="average" baseField="0" baseItem="3"/>
    <dataField name="Count of Product"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5C0BD1-AB72-4A6A-8843-2C4BD7FDCC27}"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14" firstHeaderRow="1" firstDataRow="1" firstDataCol="1"/>
  <pivotFields count="9">
    <pivotField axis="axisRow" showAll="0">
      <items count="111">
        <item x="86"/>
        <item x="50"/>
        <item x="45"/>
        <item x="65"/>
        <item x="48"/>
        <item x="23"/>
        <item x="103"/>
        <item x="75"/>
        <item x="101"/>
        <item x="7"/>
        <item x="80"/>
        <item x="105"/>
        <item x="89"/>
        <item x="61"/>
        <item x="60"/>
        <item x="38"/>
        <item x="109"/>
        <item x="54"/>
        <item x="52"/>
        <item x="36"/>
        <item x="0"/>
        <item x="11"/>
        <item x="31"/>
        <item x="26"/>
        <item x="88"/>
        <item x="97"/>
        <item x="84"/>
        <item x="91"/>
        <item x="90"/>
        <item x="68"/>
        <item x="95"/>
        <item x="8"/>
        <item x="44"/>
        <item x="58"/>
        <item x="9"/>
        <item x="46"/>
        <item x="55"/>
        <item x="66"/>
        <item x="19"/>
        <item x="34"/>
        <item x="17"/>
        <item x="51"/>
        <item x="29"/>
        <item x="32"/>
        <item x="47"/>
        <item x="2"/>
        <item x="13"/>
        <item x="35"/>
        <item x="12"/>
        <item x="59"/>
        <item x="53"/>
        <item x="37"/>
        <item x="3"/>
        <item x="4"/>
        <item x="82"/>
        <item x="40"/>
        <item x="49"/>
        <item x="76"/>
        <item x="73"/>
        <item x="22"/>
        <item x="5"/>
        <item x="77"/>
        <item x="39"/>
        <item x="16"/>
        <item x="15"/>
        <item x="108"/>
        <item x="100"/>
        <item x="93"/>
        <item x="92"/>
        <item x="27"/>
        <item x="63"/>
        <item x="102"/>
        <item x="87"/>
        <item x="43"/>
        <item x="56"/>
        <item x="106"/>
        <item x="57"/>
        <item x="30"/>
        <item x="107"/>
        <item x="10"/>
        <item x="81"/>
        <item x="33"/>
        <item x="99"/>
        <item x="67"/>
        <item x="25"/>
        <item x="70"/>
        <item x="41"/>
        <item x="6"/>
        <item x="79"/>
        <item x="14"/>
        <item x="83"/>
        <item x="98"/>
        <item x="69"/>
        <item x="104"/>
        <item x="64"/>
        <item x="20"/>
        <item x="1"/>
        <item x="96"/>
        <item x="78"/>
        <item x="21"/>
        <item x="85"/>
        <item x="62"/>
        <item x="42"/>
        <item x="72"/>
        <item x="24"/>
        <item x="71"/>
        <item x="18"/>
        <item x="74"/>
        <item x="28"/>
        <item x="94"/>
        <item t="default"/>
      </items>
    </pivotField>
    <pivotField dataField="1" showAll="0" maxSubtotal="1">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89"/>
        <item x="67"/>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t="max"/>
      </items>
    </pivotField>
    <pivotField showAll="0"/>
    <pivotField showAll="0"/>
    <pivotField showAll="0"/>
    <pivotField showAll="0"/>
    <pivotField showAll="0"/>
    <pivotField showAll="0">
      <items count="6">
        <item x="0"/>
        <item x="2"/>
        <item x="1"/>
        <item x="3"/>
        <item x="4"/>
        <item t="default"/>
      </items>
    </pivotField>
    <pivotField showAll="0">
      <items count="5">
        <item x="0"/>
        <item x="2"/>
        <item x="1"/>
        <item x="3"/>
        <item t="default"/>
      </items>
    </pivotField>
  </pivotFields>
  <rowFields count="1">
    <field x="0"/>
  </rowFields>
  <rowItems count="11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t="grand">
      <x/>
    </i>
  </rowItems>
  <colItems count="1">
    <i/>
  </colItems>
  <dataFields count="1">
    <dataField name="Max of Current price" fld="1" subtotal="max"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A569C56-EB3B-4685-90E1-C2DCF6D6D8BE}" name="PivotTable5"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2">
  <location ref="A3:B10" firstHeaderRow="1" firstDataRow="1" firstDataCol="1"/>
  <pivotFields count="9">
    <pivotField axis="axisRow" showAll="0" measureFilter="1" sortType="descending">
      <items count="111">
        <item x="94"/>
        <item x="28"/>
        <item x="74"/>
        <item x="18"/>
        <item x="71"/>
        <item x="24"/>
        <item x="72"/>
        <item x="42"/>
        <item x="62"/>
        <item x="85"/>
        <item x="21"/>
        <item x="78"/>
        <item x="96"/>
        <item x="1"/>
        <item x="20"/>
        <item x="64"/>
        <item x="104"/>
        <item x="69"/>
        <item x="98"/>
        <item x="83"/>
        <item x="14"/>
        <item x="79"/>
        <item x="6"/>
        <item x="41"/>
        <item x="70"/>
        <item x="25"/>
        <item x="67"/>
        <item x="99"/>
        <item x="33"/>
        <item x="81"/>
        <item x="10"/>
        <item x="107"/>
        <item x="30"/>
        <item x="57"/>
        <item x="106"/>
        <item x="56"/>
        <item x="43"/>
        <item x="87"/>
        <item x="102"/>
        <item x="63"/>
        <item x="27"/>
        <item x="92"/>
        <item x="93"/>
        <item x="100"/>
        <item x="108"/>
        <item x="15"/>
        <item x="16"/>
        <item x="39"/>
        <item x="77"/>
        <item x="5"/>
        <item x="22"/>
        <item x="73"/>
        <item x="76"/>
        <item x="49"/>
        <item x="40"/>
        <item x="82"/>
        <item x="4"/>
        <item x="3"/>
        <item x="37"/>
        <item x="53"/>
        <item x="59"/>
        <item x="12"/>
        <item x="35"/>
        <item x="13"/>
        <item x="2"/>
        <item x="47"/>
        <item x="32"/>
        <item x="29"/>
        <item x="51"/>
        <item x="17"/>
        <item x="34"/>
        <item x="19"/>
        <item x="66"/>
        <item x="55"/>
        <item x="46"/>
        <item x="9"/>
        <item x="58"/>
        <item x="44"/>
        <item x="8"/>
        <item x="95"/>
        <item x="68"/>
        <item x="90"/>
        <item x="91"/>
        <item x="84"/>
        <item x="97"/>
        <item x="88"/>
        <item x="26"/>
        <item x="31"/>
        <item x="11"/>
        <item x="0"/>
        <item x="36"/>
        <item x="52"/>
        <item x="54"/>
        <item x="109"/>
        <item x="38"/>
        <item x="60"/>
        <item x="61"/>
        <item x="89"/>
        <item x="105"/>
        <item x="80"/>
        <item x="7"/>
        <item x="101"/>
        <item x="75"/>
        <item x="103"/>
        <item x="23"/>
        <item x="48"/>
        <item x="65"/>
        <item x="45"/>
        <item x="50"/>
        <item x="86"/>
        <item t="default"/>
      </items>
    </pivotField>
    <pivotField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89"/>
        <item x="67"/>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t="default"/>
      </items>
    </pivotField>
    <pivotField showAll="0"/>
    <pivotField showAll="0"/>
    <pivotField showAll="0"/>
    <pivotField showAll="0"/>
    <pivotField dataField="1" showAll="0"/>
    <pivotField showAll="0">
      <items count="6">
        <item x="0"/>
        <item x="2"/>
        <item x="1"/>
        <item x="3"/>
        <item x="4"/>
        <item t="default"/>
      </items>
    </pivotField>
    <pivotField showAll="0">
      <items count="5">
        <item x="0"/>
        <item x="2"/>
        <item x="1"/>
        <item x="3"/>
        <item t="default"/>
      </items>
    </pivotField>
  </pivotFields>
  <rowFields count="1">
    <field x="0"/>
  </rowFields>
  <rowItems count="7">
    <i>
      <x/>
    </i>
    <i>
      <x v="9"/>
    </i>
    <i>
      <x v="12"/>
    </i>
    <i>
      <x v="17"/>
    </i>
    <i>
      <x v="97"/>
    </i>
    <i>
      <x v="99"/>
    </i>
    <i t="grand">
      <x/>
    </i>
  </rowItems>
  <colItems count="1">
    <i/>
  </colItems>
  <dataFields count="1">
    <dataField name="Average of Discount Amount" fld="6" subtotal="average" baseField="0" baseItem="0"/>
  </dataFields>
  <chartFormats count="5">
    <chartFormat chart="0"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13" format="1"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3"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5F65EF9-545C-402F-992F-8C907A1B3354}" name="PivotTable6"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9" firstHeaderRow="1" firstDataRow="1" firstDataCol="1"/>
  <pivotFields count="9">
    <pivotField axis="axisRow" showAll="0" measureFilter="1" sortType="ascending">
      <items count="111">
        <item x="86"/>
        <item x="50"/>
        <item x="45"/>
        <item x="65"/>
        <item x="48"/>
        <item x="23"/>
        <item x="103"/>
        <item x="75"/>
        <item x="101"/>
        <item x="7"/>
        <item x="80"/>
        <item x="105"/>
        <item x="89"/>
        <item x="61"/>
        <item x="60"/>
        <item x="38"/>
        <item x="109"/>
        <item x="54"/>
        <item x="52"/>
        <item x="36"/>
        <item x="0"/>
        <item x="11"/>
        <item x="31"/>
        <item x="26"/>
        <item x="88"/>
        <item x="97"/>
        <item x="84"/>
        <item x="91"/>
        <item x="90"/>
        <item x="68"/>
        <item x="95"/>
        <item x="8"/>
        <item x="44"/>
        <item x="58"/>
        <item x="9"/>
        <item x="46"/>
        <item x="55"/>
        <item x="66"/>
        <item x="19"/>
        <item x="34"/>
        <item x="17"/>
        <item x="51"/>
        <item x="29"/>
        <item x="32"/>
        <item x="47"/>
        <item x="2"/>
        <item x="13"/>
        <item x="35"/>
        <item x="12"/>
        <item x="59"/>
        <item x="53"/>
        <item x="37"/>
        <item x="3"/>
        <item x="4"/>
        <item x="82"/>
        <item x="40"/>
        <item x="49"/>
        <item x="76"/>
        <item x="73"/>
        <item x="22"/>
        <item x="5"/>
        <item x="77"/>
        <item x="39"/>
        <item x="16"/>
        <item x="15"/>
        <item x="108"/>
        <item x="100"/>
        <item x="93"/>
        <item x="92"/>
        <item x="27"/>
        <item x="63"/>
        <item x="102"/>
        <item x="87"/>
        <item x="43"/>
        <item x="56"/>
        <item x="106"/>
        <item x="57"/>
        <item x="30"/>
        <item x="107"/>
        <item x="10"/>
        <item x="81"/>
        <item x="33"/>
        <item x="99"/>
        <item x="67"/>
        <item x="25"/>
        <item x="70"/>
        <item x="41"/>
        <item x="6"/>
        <item x="79"/>
        <item x="14"/>
        <item x="83"/>
        <item x="98"/>
        <item x="69"/>
        <item x="104"/>
        <item x="64"/>
        <item x="20"/>
        <item x="1"/>
        <item x="96"/>
        <item x="78"/>
        <item x="21"/>
        <item x="85"/>
        <item x="62"/>
        <item x="42"/>
        <item x="72"/>
        <item x="24"/>
        <item x="71"/>
        <item x="18"/>
        <item x="74"/>
        <item x="28"/>
        <item x="94"/>
        <item t="default"/>
      </items>
    </pivotField>
    <pivotField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89"/>
        <item x="67"/>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t="default"/>
      </items>
    </pivotField>
    <pivotField showAll="0"/>
    <pivotField showAll="0"/>
    <pivotField dataField="1" showAll="0"/>
    <pivotField showAll="0"/>
    <pivotField showAll="0"/>
    <pivotField showAll="0">
      <items count="6">
        <item x="0"/>
        <item x="2"/>
        <item x="1"/>
        <item x="3"/>
        <item x="4"/>
        <item t="default"/>
      </items>
    </pivotField>
    <pivotField showAll="0">
      <items count="5">
        <item x="0"/>
        <item x="2"/>
        <item x="1"/>
        <item x="3"/>
        <item t="default"/>
      </items>
    </pivotField>
  </pivotFields>
  <rowFields count="1">
    <field x="0"/>
  </rowFields>
  <rowItems count="6">
    <i>
      <x v="1"/>
    </i>
    <i>
      <x v="5"/>
    </i>
    <i>
      <x v="8"/>
    </i>
    <i>
      <x v="18"/>
    </i>
    <i>
      <x v="59"/>
    </i>
    <i t="grand">
      <x/>
    </i>
  </rowItems>
  <colItems count="1">
    <i/>
  </colItems>
  <dataFields count="1">
    <dataField name="Sum of Reviewed" fld="4"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C9D7B39-20CC-461B-9F49-71794FA5E358}" name="PivotTable10"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9">
    <pivotField axis="axisRow" showAll="0" measureFilter="1" sortType="ascending">
      <items count="111">
        <item x="86"/>
        <item x="50"/>
        <item x="45"/>
        <item x="65"/>
        <item x="48"/>
        <item x="23"/>
        <item x="103"/>
        <item x="75"/>
        <item x="101"/>
        <item x="7"/>
        <item x="80"/>
        <item x="105"/>
        <item x="89"/>
        <item x="61"/>
        <item x="60"/>
        <item x="38"/>
        <item x="109"/>
        <item x="54"/>
        <item x="52"/>
        <item x="36"/>
        <item x="0"/>
        <item x="11"/>
        <item x="31"/>
        <item x="26"/>
        <item x="88"/>
        <item x="97"/>
        <item x="84"/>
        <item x="91"/>
        <item x="90"/>
        <item x="68"/>
        <item x="95"/>
        <item x="8"/>
        <item x="44"/>
        <item x="58"/>
        <item x="9"/>
        <item x="46"/>
        <item x="55"/>
        <item x="66"/>
        <item x="19"/>
        <item x="34"/>
        <item x="17"/>
        <item x="51"/>
        <item x="29"/>
        <item x="32"/>
        <item x="47"/>
        <item x="2"/>
        <item x="13"/>
        <item x="35"/>
        <item x="12"/>
        <item x="59"/>
        <item x="53"/>
        <item x="37"/>
        <item x="3"/>
        <item x="4"/>
        <item x="82"/>
        <item x="40"/>
        <item x="49"/>
        <item x="76"/>
        <item x="73"/>
        <item x="22"/>
        <item x="5"/>
        <item x="77"/>
        <item x="39"/>
        <item x="16"/>
        <item x="15"/>
        <item x="108"/>
        <item x="100"/>
        <item x="93"/>
        <item x="92"/>
        <item x="27"/>
        <item x="63"/>
        <item x="102"/>
        <item x="87"/>
        <item x="43"/>
        <item x="56"/>
        <item x="106"/>
        <item x="57"/>
        <item x="30"/>
        <item x="107"/>
        <item x="10"/>
        <item x="81"/>
        <item x="33"/>
        <item x="99"/>
        <item x="67"/>
        <item x="25"/>
        <item x="70"/>
        <item x="41"/>
        <item x="6"/>
        <item x="79"/>
        <item x="14"/>
        <item x="83"/>
        <item x="98"/>
        <item x="69"/>
        <item x="104"/>
        <item x="64"/>
        <item x="20"/>
        <item x="1"/>
        <item x="96"/>
        <item x="78"/>
        <item x="21"/>
        <item x="85"/>
        <item x="62"/>
        <item x="42"/>
        <item x="72"/>
        <item x="24"/>
        <item x="71"/>
        <item x="18"/>
        <item x="74"/>
        <item x="28"/>
        <item x="94"/>
        <item t="default"/>
      </items>
    </pivotField>
    <pivotField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89"/>
        <item x="67"/>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t="default"/>
      </items>
    </pivotField>
    <pivotField showAll="0"/>
    <pivotField showAll="0"/>
    <pivotField showAll="0"/>
    <pivotField dataField="1" showAll="0"/>
    <pivotField showAll="0"/>
    <pivotField showAll="0">
      <items count="6">
        <item x="0"/>
        <item x="2"/>
        <item x="1"/>
        <item x="3"/>
        <item x="4"/>
        <item t="default"/>
      </items>
    </pivotField>
    <pivotField showAll="0">
      <items count="5">
        <item x="0"/>
        <item x="2"/>
        <item x="1"/>
        <item x="3"/>
        <item t="default"/>
      </items>
    </pivotField>
  </pivotFields>
  <rowFields count="1">
    <field x="0"/>
  </rowFields>
  <rowItems count="6">
    <i>
      <x v="30"/>
    </i>
    <i>
      <x v="35"/>
    </i>
    <i>
      <x v="41"/>
    </i>
    <i>
      <x v="58"/>
    </i>
    <i>
      <x v="104"/>
    </i>
    <i t="grand">
      <x/>
    </i>
  </rowItems>
  <colItems count="1">
    <i/>
  </colItems>
  <dataFields count="1">
    <dataField name="Average of Ratingd" fld="5" subtotal="average" baseField="0" baseItem="0"/>
  </dataFields>
  <chartFormats count="2">
    <chartFormat chart="1"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4" iMeasureFld="0">
      <autoFilter ref="A1">
        <filterColumn colId="0">
          <top10 top="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A3636BB-A9F2-4DBD-AC9A-C9C1BAB2E9CE}" name="PivotTable2"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52" firstHeaderRow="1" firstDataRow="1" firstDataCol="1"/>
  <pivotFields count="9">
    <pivotField showAll="0"/>
    <pivotField showAll="0">
      <items count="10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89"/>
        <item x="67"/>
        <item x="68"/>
        <item x="69"/>
        <item x="70"/>
        <item x="71"/>
        <item x="72"/>
        <item x="73"/>
        <item x="74"/>
        <item x="75"/>
        <item x="76"/>
        <item x="77"/>
        <item x="78"/>
        <item x="79"/>
        <item x="80"/>
        <item x="81"/>
        <item x="82"/>
        <item x="83"/>
        <item x="84"/>
        <item x="85"/>
        <item x="86"/>
        <item x="87"/>
        <item x="88"/>
        <item x="90"/>
        <item x="91"/>
        <item x="92"/>
        <item x="93"/>
        <item x="94"/>
        <item x="95"/>
        <item x="96"/>
        <item x="97"/>
        <item x="98"/>
        <item x="99"/>
        <item x="100"/>
        <item x="101"/>
        <item x="102"/>
        <item x="103"/>
        <item x="104"/>
        <item t="default"/>
      </items>
    </pivotField>
    <pivotField showAll="0"/>
    <pivotField axis="axisRow" showAll="0">
      <items count="50">
        <item x="36"/>
        <item x="28"/>
        <item x="26"/>
        <item x="33"/>
        <item x="30"/>
        <item x="43"/>
        <item x="20"/>
        <item x="39"/>
        <item x="29"/>
        <item x="42"/>
        <item x="44"/>
        <item x="19"/>
        <item x="45"/>
        <item x="10"/>
        <item x="32"/>
        <item x="6"/>
        <item x="40"/>
        <item x="34"/>
        <item x="37"/>
        <item x="41"/>
        <item x="35"/>
        <item x="38"/>
        <item x="25"/>
        <item x="24"/>
        <item x="22"/>
        <item x="16"/>
        <item x="27"/>
        <item x="47"/>
        <item x="23"/>
        <item x="21"/>
        <item x="46"/>
        <item x="31"/>
        <item x="14"/>
        <item x="18"/>
        <item x="12"/>
        <item x="13"/>
        <item x="5"/>
        <item x="2"/>
        <item x="1"/>
        <item x="3"/>
        <item x="9"/>
        <item x="11"/>
        <item x="4"/>
        <item x="0"/>
        <item x="17"/>
        <item x="15"/>
        <item x="7"/>
        <item x="8"/>
        <item h="1" x="48"/>
        <item t="default"/>
      </items>
    </pivotField>
    <pivotField dataField="1" showAll="0"/>
    <pivotField showAll="0"/>
    <pivotField showAll="0"/>
    <pivotField showAll="0">
      <items count="6">
        <item x="0"/>
        <item x="2"/>
        <item x="1"/>
        <item x="3"/>
        <item x="4"/>
        <item t="default"/>
      </items>
    </pivotField>
    <pivotField showAll="0">
      <items count="5">
        <item x="0"/>
        <item x="2"/>
        <item x="1"/>
        <item x="3"/>
        <item t="default"/>
      </items>
    </pivotField>
  </pivotFields>
  <rowFields count="1">
    <field x="3"/>
  </rowFields>
  <rowItems count="49">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t="grand">
      <x/>
    </i>
  </rowItems>
  <colItems count="1">
    <i/>
  </colItems>
  <dataFields count="1">
    <dataField name="Average of Reviewed" fld="4" subtotal="average" baseField="3"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7149A9-CE9B-478E-A626-08199C72CC08}" name="PivotTable8"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rowHeaderCaption="  N">
  <location ref="A1:B26" firstHeaderRow="1" firstDataRow="1" firstDataCol="1"/>
  <pivotFields count="9">
    <pivotField showAll="0"/>
    <pivotField showAll="0"/>
    <pivotField showAll="0"/>
    <pivotField showAll="0"/>
    <pivotField dataField="1" showAll="0"/>
    <pivotField axis="axisRow" showAll="0">
      <items count="27">
        <item x="10"/>
        <item x="19"/>
        <item x="15"/>
        <item x="6"/>
        <item x="23"/>
        <item x="7"/>
        <item x="4"/>
        <item x="9"/>
        <item x="17"/>
        <item x="11"/>
        <item x="0"/>
        <item x="18"/>
        <item x="24"/>
        <item x="5"/>
        <item x="13"/>
        <item x="21"/>
        <item x="3"/>
        <item x="20"/>
        <item x="12"/>
        <item x="8"/>
        <item x="22"/>
        <item x="16"/>
        <item x="14"/>
        <item x="2"/>
        <item h="1" x="25"/>
        <item h="1" x="1"/>
        <item t="default"/>
      </items>
    </pivotField>
    <pivotField showAll="0"/>
    <pivotField showAll="0"/>
    <pivotField showAll="0">
      <items count="5">
        <item x="0"/>
        <item x="2"/>
        <item x="1"/>
        <item x="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Reviewed" fld="4"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5782EFE-A751-4F1A-86C8-BFFE4AC9B965}" name="PivotTable4" cacheId="3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28" firstHeaderRow="1" firstDataRow="1" firstDataCol="1"/>
  <pivotFields count="9">
    <pivotField showAll="0"/>
    <pivotField showAll="0"/>
    <pivotField showAll="0"/>
    <pivotField showAll="0"/>
    <pivotField dataField="1" showAll="0"/>
    <pivotField axis="axisRow" showAll="0">
      <items count="27">
        <item x="10"/>
        <item x="19"/>
        <item x="15"/>
        <item x="6"/>
        <item x="23"/>
        <item x="7"/>
        <item x="4"/>
        <item x="9"/>
        <item x="17"/>
        <item x="11"/>
        <item x="0"/>
        <item x="18"/>
        <item x="24"/>
        <item x="5"/>
        <item x="13"/>
        <item x="21"/>
        <item x="3"/>
        <item x="20"/>
        <item x="12"/>
        <item x="8"/>
        <item x="22"/>
        <item x="16"/>
        <item x="14"/>
        <item x="2"/>
        <item h="1" x="25"/>
        <item h="1" x="1"/>
        <item t="default"/>
      </items>
    </pivotField>
    <pivotField showAll="0"/>
    <pivotField showAll="0"/>
    <pivotField showAll="0">
      <items count="5">
        <item x="0"/>
        <item x="2"/>
        <item x="1"/>
        <item x="3"/>
        <item t="default"/>
      </items>
    </pivotField>
  </pivotFields>
  <rowFields count="1">
    <field x="5"/>
  </rowFields>
  <rowItems count="25">
    <i>
      <x/>
    </i>
    <i>
      <x v="1"/>
    </i>
    <i>
      <x v="2"/>
    </i>
    <i>
      <x v="3"/>
    </i>
    <i>
      <x v="4"/>
    </i>
    <i>
      <x v="5"/>
    </i>
    <i>
      <x v="6"/>
    </i>
    <i>
      <x v="7"/>
    </i>
    <i>
      <x v="8"/>
    </i>
    <i>
      <x v="9"/>
    </i>
    <i>
      <x v="10"/>
    </i>
    <i>
      <x v="11"/>
    </i>
    <i>
      <x v="12"/>
    </i>
    <i>
      <x v="13"/>
    </i>
    <i>
      <x v="14"/>
    </i>
    <i>
      <x v="15"/>
    </i>
    <i>
      <x v="16"/>
    </i>
    <i>
      <x v="17"/>
    </i>
    <i>
      <x v="18"/>
    </i>
    <i>
      <x v="19"/>
    </i>
    <i>
      <x v="20"/>
    </i>
    <i>
      <x v="21"/>
    </i>
    <i>
      <x v="22"/>
    </i>
    <i>
      <x v="23"/>
    </i>
    <i t="grand">
      <x/>
    </i>
  </rowItems>
  <colItems count="1">
    <i/>
  </colItems>
  <dataFields count="1">
    <dataField name="Average of Reviewed" fld="4" subtotal="average"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ating_Category" xr10:uid="{8773FCB1-EBA6-40A5-B8BB-CBB62D3ECF2E}" sourceName="Rating Category">
  <pivotTables>
    <pivotTable tabId="11" name="PivotTable6"/>
    <pivotTable tabId="9" name="PivotTable5"/>
    <pivotTable tabId="13" name="PivotTable10"/>
    <pivotTable tabId="7" name="PivotTable3"/>
    <pivotTable tabId="8" name="PivotTable4"/>
    <pivotTable tabId="17" name="PivotTable2"/>
  </pivotTables>
  <data>
    <tabular pivotCacheId="2057903225">
      <items count="5">
        <i x="0" s="1"/>
        <i x="2" s="1"/>
        <i x="1" s="1"/>
        <i x="3" s="1"/>
        <i x="4"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 xr10:uid="{486BC91C-92FF-42FC-BC2A-0429641BCBA6}" sourceName="Discount Category">
  <pivotTables>
    <pivotTable tabId="9" name="PivotTable5"/>
    <pivotTable tabId="13" name="PivotTable10"/>
    <pivotTable tabId="11" name="PivotTable6"/>
    <pivotTable tabId="7" name="PivotTable3"/>
    <pivotTable tabId="8" name="PivotTable4"/>
    <pivotTable tabId="17" name="PivotTable2"/>
    <pivotTable tabId="19" name="PivotTable4"/>
    <pivotTable tabId="20" name="PivotTable8"/>
  </pivotTables>
  <data>
    <tabular pivotCacheId="2057903225">
      <items count="4">
        <i x="0"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rrent_price" xr10:uid="{B63A2DFE-EF1D-4955-B142-8C8C9B7459D1}" sourceName="Current price">
  <pivotTables>
    <pivotTable tabId="8" name="PivotTable4"/>
    <pivotTable tabId="9" name="PivotTable5"/>
    <pivotTable tabId="13" name="PivotTable10"/>
    <pivotTable tabId="11" name="PivotTable6"/>
    <pivotTable tabId="7" name="PivotTable3"/>
    <pivotTable tabId="17" name="PivotTable2"/>
  </pivotTables>
  <data>
    <tabular pivotCacheId="2057903225">
      <items count="105">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89" s="1"/>
        <i x="67" s="1"/>
        <i x="68" s="1"/>
        <i x="69" s="1"/>
        <i x="70" s="1"/>
        <i x="71" s="1"/>
        <i x="72" s="1"/>
        <i x="73" s="1"/>
        <i x="74" s="1"/>
        <i x="75" s="1"/>
        <i x="76" s="1"/>
        <i x="77" s="1"/>
        <i x="78" s="1"/>
        <i x="79" s="1"/>
        <i x="80" s="1"/>
        <i x="81" s="1"/>
        <i x="82" s="1"/>
        <i x="83" s="1"/>
        <i x="84" s="1"/>
        <i x="85" s="1"/>
        <i x="86" s="1"/>
        <i x="87" s="1"/>
        <i x="88" s="1"/>
        <i x="90" s="1"/>
        <i x="91" s="1"/>
        <i x="92" s="1"/>
        <i x="93" s="1"/>
        <i x="94" s="1"/>
        <i x="95" s="1"/>
        <i x="96" s="1"/>
        <i x="97" s="1"/>
        <i x="98" s="1"/>
        <i x="99" s="1"/>
        <i x="100" s="1"/>
        <i x="101" s="1"/>
        <i x="102" s="1"/>
        <i x="103" s="1"/>
        <i x="104"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_Category1" xr10:uid="{E211242F-59AC-41A7-986C-C9E864215282}" sourceName="Discount Category">
  <pivotTables>
    <pivotTable tabId="5" name="PivotTable1"/>
    <pivotTable tabId="4" name="PivotTable1"/>
    <pivotTable tabId="5" name="PivotTable2"/>
  </pivotTables>
  <data>
    <tabular pivotCacheId="1637538350">
      <items count="4">
        <i x="0" s="1"/>
        <i x="2"/>
        <i x="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3" xr10:uid="{E6BB8D97-2B42-4F31-9D7F-BDCA79E95872}" cache="Slicer_Discount_Category1" caption="Discount 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xr10:uid="{06E4D6D3-BC45-4691-AD37-05FDC6A9B5EA}" cache="Slicer_Discount_Category" caption="Discount Category"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xr10:uid="{3E8BF9D0-C430-4BA9-90CC-299C339F9491}" cache="Slicer_Rating_Category" caption="Rating Category"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iscount Category 1" xr10:uid="{607A3941-0E22-4D5C-A885-09DFA1E08370}" cache="Slicer_Discount_Category" caption="Discount Category"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ating Category 1" xr10:uid="{8F8D1E62-E228-488D-8B12-2D1A9E95B56A}" cache="Slicer_Rating_Category" caption="Rating Category" rowHeight="241300"/>
  <slicer name="Discount Category 4" xr10:uid="{AB12F815-3D14-4790-9E95-03467CDF0BD9}" cache="Slicer_Discount_Category" caption="Discount Category" rowHeight="241300"/>
  <slicer name="Current price 1" xr10:uid="{553D0A08-9C7A-40FB-A446-ACD41A392565}" cache="Slicer_Current_price" caption="Current price" startItem="75"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5.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6.xml"/></Relationships>
</file>

<file path=xl/worksheets/_rels/sheet6.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7.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0.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_rels/sheet12.xml.rels><?xml version="1.0" encoding="UTF-8" standalone="yes"?>
<Relationships xmlns="http://schemas.openxmlformats.org/package/2006/relationships"><Relationship Id="rId2" Type="http://schemas.microsoft.com/office/2007/relationships/slicer" Target="../slicers/slicer5.xml"/><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52D957-1BDF-4A4B-9F9B-4002AA17F9D7}">
  <dimension ref="A3:C5"/>
  <sheetViews>
    <sheetView workbookViewId="0">
      <selection activeCell="H27" sqref="H27"/>
    </sheetView>
  </sheetViews>
  <sheetFormatPr defaultRowHeight="14.5" x14ac:dyDescent="0.35"/>
  <cols>
    <col min="1" max="1" width="12.36328125" bestFit="1" customWidth="1"/>
    <col min="2" max="2" width="16.6328125" bestFit="1" customWidth="1"/>
    <col min="3" max="4" width="27.7265625" bestFit="1" customWidth="1"/>
    <col min="5" max="8" width="7.26953125" bestFit="1" customWidth="1"/>
    <col min="9" max="9" width="3.81640625" bestFit="1" customWidth="1"/>
    <col min="10" max="17" width="7.26953125" bestFit="1" customWidth="1"/>
    <col min="18" max="18" width="3.81640625" bestFit="1" customWidth="1"/>
    <col min="19" max="19" width="7.26953125" bestFit="1" customWidth="1"/>
    <col min="20" max="22" width="3.81640625" bestFit="1" customWidth="1"/>
    <col min="23" max="23" width="7.26953125" bestFit="1" customWidth="1"/>
    <col min="24" max="24" width="3.81640625" bestFit="1" customWidth="1"/>
    <col min="25" max="27" width="7.26953125" bestFit="1" customWidth="1"/>
    <col min="28" max="28" width="3.81640625" bestFit="1" customWidth="1"/>
    <col min="29" max="29" width="7.26953125" bestFit="1" customWidth="1"/>
    <col min="30" max="31" width="3.81640625" bestFit="1" customWidth="1"/>
    <col min="32" max="33" width="7.26953125" bestFit="1" customWidth="1"/>
    <col min="34" max="38" width="3.81640625" bestFit="1" customWidth="1"/>
    <col min="39" max="39" width="7.26953125" bestFit="1" customWidth="1"/>
    <col min="40" max="42" width="3.81640625" bestFit="1" customWidth="1"/>
    <col min="43" max="43" width="7.26953125" bestFit="1" customWidth="1"/>
    <col min="44" max="45" width="3.81640625" bestFit="1" customWidth="1"/>
    <col min="46" max="46" width="7.26953125" bestFit="1" customWidth="1"/>
    <col min="47" max="47" width="7.1796875" bestFit="1" customWidth="1"/>
    <col min="48" max="49" width="3.81640625" bestFit="1" customWidth="1"/>
    <col min="50" max="50" width="7.26953125" bestFit="1" customWidth="1"/>
    <col min="51" max="51" width="3.81640625" bestFit="1" customWidth="1"/>
    <col min="52" max="52" width="7.26953125" bestFit="1" customWidth="1"/>
    <col min="53" max="53" width="7.1796875" bestFit="1" customWidth="1"/>
    <col min="54" max="54" width="3.81640625" bestFit="1" customWidth="1"/>
    <col min="55" max="55" width="7.26953125" bestFit="1" customWidth="1"/>
    <col min="56" max="56" width="3.81640625" bestFit="1" customWidth="1"/>
    <col min="57" max="57" width="7.26953125" bestFit="1" customWidth="1"/>
    <col min="58" max="58" width="3.81640625" bestFit="1" customWidth="1"/>
    <col min="59" max="59" width="7.26953125" bestFit="1" customWidth="1"/>
    <col min="60" max="60" width="3.81640625" bestFit="1" customWidth="1"/>
    <col min="61" max="62" width="7.26953125" bestFit="1" customWidth="1"/>
    <col min="63" max="63" width="3.81640625" bestFit="1" customWidth="1"/>
    <col min="64" max="66" width="7.26953125" bestFit="1" customWidth="1"/>
    <col min="67" max="72" width="3.81640625" bestFit="1" customWidth="1"/>
    <col min="73" max="76" width="7.26953125" bestFit="1" customWidth="1"/>
    <col min="77" max="78" width="3.81640625" bestFit="1" customWidth="1"/>
    <col min="79" max="79" width="7.26953125" bestFit="1" customWidth="1"/>
    <col min="80" max="80" width="3.81640625" bestFit="1" customWidth="1"/>
    <col min="81" max="81" width="7.26953125" bestFit="1" customWidth="1"/>
    <col min="82" max="87" width="3.81640625" bestFit="1" customWidth="1"/>
    <col min="88" max="88" width="4.81640625" bestFit="1" customWidth="1"/>
    <col min="89" max="89" width="7.26953125" bestFit="1" customWidth="1"/>
    <col min="90" max="90" width="4.81640625" bestFit="1" customWidth="1"/>
    <col min="91" max="91" width="7.26953125" bestFit="1" customWidth="1"/>
    <col min="92" max="92" width="4.81640625" bestFit="1" customWidth="1"/>
    <col min="93" max="93" width="7.26953125" bestFit="1" customWidth="1"/>
    <col min="94" max="94" width="4.81640625" bestFit="1" customWidth="1"/>
    <col min="95" max="95" width="7.26953125" bestFit="1" customWidth="1"/>
    <col min="96" max="98" width="4.81640625" bestFit="1" customWidth="1"/>
    <col min="99" max="100" width="7.26953125" bestFit="1" customWidth="1"/>
    <col min="101" max="104" width="4.81640625" bestFit="1" customWidth="1"/>
    <col min="105" max="105" width="6.7265625" bestFit="1" customWidth="1"/>
    <col min="106" max="106" width="11.81640625" bestFit="1" customWidth="1"/>
  </cols>
  <sheetData>
    <row r="3" spans="1:3" x14ac:dyDescent="0.35">
      <c r="A3" s="3" t="s">
        <v>119</v>
      </c>
      <c r="B3" t="s">
        <v>125</v>
      </c>
      <c r="C3" t="s">
        <v>126</v>
      </c>
    </row>
    <row r="4" spans="1:3" x14ac:dyDescent="0.35">
      <c r="A4" s="4" t="s">
        <v>122</v>
      </c>
      <c r="B4" s="5">
        <v>3.6133333333333324</v>
      </c>
      <c r="C4" s="1">
        <v>0.48338709677419339</v>
      </c>
    </row>
    <row r="5" spans="1:3" x14ac:dyDescent="0.35">
      <c r="A5" s="4" t="s">
        <v>121</v>
      </c>
      <c r="B5" s="5">
        <v>3.6133333333333324</v>
      </c>
      <c r="C5" s="1">
        <v>0.48338709677419339</v>
      </c>
    </row>
  </sheetData>
  <sortState xmlns:xlrd2="http://schemas.microsoft.com/office/spreadsheetml/2017/richdata2" columnSort="1" ref="A3:D8">
    <sortCondition descending="1" ref="B3"/>
  </sortState>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6A5565-13C4-4AC7-9A6F-9840058CDCAE}">
  <dimension ref="A3:H28"/>
  <sheetViews>
    <sheetView topLeftCell="E18" workbookViewId="0">
      <selection activeCell="H27" sqref="H27"/>
    </sheetView>
  </sheetViews>
  <sheetFormatPr defaultRowHeight="14.5" x14ac:dyDescent="0.35"/>
  <cols>
    <col min="1" max="1" width="12.36328125" bestFit="1" customWidth="1"/>
    <col min="2" max="3" width="15.26953125" bestFit="1" customWidth="1"/>
    <col min="6" max="6" width="12.36328125" bestFit="1" customWidth="1"/>
    <col min="7" max="7" width="16.6328125" bestFit="1" customWidth="1"/>
    <col min="8" max="8" width="27.7265625" bestFit="1" customWidth="1"/>
  </cols>
  <sheetData>
    <row r="3" spans="1:2" x14ac:dyDescent="0.35">
      <c r="A3" s="3" t="s">
        <v>119</v>
      </c>
      <c r="B3" t="s">
        <v>127</v>
      </c>
    </row>
    <row r="4" spans="1:2" x14ac:dyDescent="0.35">
      <c r="A4" s="4" t="s">
        <v>129</v>
      </c>
      <c r="B4" s="5">
        <v>11</v>
      </c>
    </row>
    <row r="5" spans="1:2" x14ac:dyDescent="0.35">
      <c r="A5" s="4" t="s">
        <v>130</v>
      </c>
      <c r="B5" s="5">
        <v>9</v>
      </c>
    </row>
    <row r="6" spans="1:2" x14ac:dyDescent="0.35">
      <c r="A6" s="4" t="s">
        <v>131</v>
      </c>
      <c r="B6" s="5">
        <v>10</v>
      </c>
    </row>
    <row r="7" spans="1:2" x14ac:dyDescent="0.35">
      <c r="A7" s="4" t="s">
        <v>121</v>
      </c>
      <c r="B7" s="5">
        <v>30</v>
      </c>
    </row>
    <row r="26" spans="6:8" x14ac:dyDescent="0.35">
      <c r="F26" s="3" t="s">
        <v>119</v>
      </c>
      <c r="G26" t="s">
        <v>125</v>
      </c>
      <c r="H26" t="s">
        <v>126</v>
      </c>
    </row>
    <row r="27" spans="6:8" x14ac:dyDescent="0.35">
      <c r="F27" s="4" t="s">
        <v>122</v>
      </c>
      <c r="G27" s="5">
        <v>3.6133333333333324</v>
      </c>
      <c r="H27" s="1">
        <v>0.48338709677419339</v>
      </c>
    </row>
    <row r="28" spans="6:8" x14ac:dyDescent="0.35">
      <c r="F28" s="4" t="s">
        <v>121</v>
      </c>
      <c r="G28" s="5">
        <v>3.6133333333333324</v>
      </c>
      <c r="H28" s="1">
        <v>0.48338709677419339</v>
      </c>
    </row>
  </sheetData>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41FD72-D9B3-4592-B1E5-1838F83C35BB}">
  <dimension ref="A3:F4"/>
  <sheetViews>
    <sheetView workbookViewId="0">
      <selection activeCell="B3" sqref="B3"/>
    </sheetView>
  </sheetViews>
  <sheetFormatPr defaultRowHeight="14.5" x14ac:dyDescent="0.35"/>
  <cols>
    <col min="1" max="1" width="21.453125" bestFit="1" customWidth="1"/>
    <col min="2" max="2" width="15.1796875" bestFit="1" customWidth="1"/>
    <col min="3" max="3" width="17.54296875" bestFit="1" customWidth="1"/>
    <col min="4" max="4" width="25.1796875" bestFit="1" customWidth="1"/>
    <col min="5" max="5" width="16.6328125" bestFit="1" customWidth="1"/>
    <col min="6" max="6" width="15.26953125" bestFit="1" customWidth="1"/>
  </cols>
  <sheetData>
    <row r="3" spans="1:6" x14ac:dyDescent="0.35">
      <c r="A3" t="s">
        <v>132</v>
      </c>
      <c r="B3" t="s">
        <v>124</v>
      </c>
      <c r="C3" t="s">
        <v>133</v>
      </c>
      <c r="D3" t="s">
        <v>123</v>
      </c>
      <c r="E3" t="s">
        <v>125</v>
      </c>
      <c r="F3" t="s">
        <v>127</v>
      </c>
    </row>
    <row r="4" spans="1:6" x14ac:dyDescent="0.35">
      <c r="A4" s="5">
        <v>1211.8518306636154</v>
      </c>
      <c r="B4" s="5">
        <v>723</v>
      </c>
      <c r="C4" s="5">
        <v>1852.6987032799391</v>
      </c>
      <c r="D4" s="5">
        <v>624.21428571428567</v>
      </c>
      <c r="E4" s="5">
        <v>3.9208764367816094</v>
      </c>
      <c r="F4" s="5">
        <v>112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90793-4172-479A-B1D5-1F28B147A619}">
  <dimension ref="A3:B114"/>
  <sheetViews>
    <sheetView topLeftCell="A3" workbookViewId="0">
      <selection activeCell="A3" sqref="A3"/>
    </sheetView>
  </sheetViews>
  <sheetFormatPr defaultRowHeight="14.5" x14ac:dyDescent="0.35"/>
  <cols>
    <col min="1" max="1" width="89.1796875" bestFit="1" customWidth="1"/>
    <col min="2" max="2" width="18.26953125" bestFit="1" customWidth="1"/>
  </cols>
  <sheetData>
    <row r="3" spans="1:2" x14ac:dyDescent="0.35">
      <c r="A3" s="3" t="s">
        <v>119</v>
      </c>
      <c r="B3" t="s">
        <v>134</v>
      </c>
    </row>
    <row r="4" spans="1:2" x14ac:dyDescent="0.35">
      <c r="A4" s="4" t="s">
        <v>42</v>
      </c>
      <c r="B4" s="5">
        <v>1800</v>
      </c>
    </row>
    <row r="5" spans="1:2" x14ac:dyDescent="0.35">
      <c r="A5" s="4" t="s">
        <v>15</v>
      </c>
      <c r="B5" s="5">
        <v>990</v>
      </c>
    </row>
    <row r="6" spans="1:2" x14ac:dyDescent="0.35">
      <c r="A6" s="4" t="s">
        <v>4</v>
      </c>
      <c r="B6" s="5">
        <v>950</v>
      </c>
    </row>
    <row r="7" spans="1:2" x14ac:dyDescent="0.35">
      <c r="A7" s="4" t="s">
        <v>31</v>
      </c>
      <c r="B7" s="5">
        <v>1350</v>
      </c>
    </row>
    <row r="8" spans="1:2" x14ac:dyDescent="0.35">
      <c r="A8" s="4" t="s">
        <v>35</v>
      </c>
      <c r="B8" s="5">
        <v>980</v>
      </c>
    </row>
    <row r="9" spans="1:2" x14ac:dyDescent="0.35">
      <c r="A9" s="4" t="s">
        <v>65</v>
      </c>
      <c r="B9" s="5">
        <v>445</v>
      </c>
    </row>
    <row r="10" spans="1:2" x14ac:dyDescent="0.35">
      <c r="A10" s="4" t="s">
        <v>61</v>
      </c>
      <c r="B10" s="5">
        <v>2799</v>
      </c>
    </row>
    <row r="11" spans="1:2" x14ac:dyDescent="0.35">
      <c r="A11" s="4" t="s">
        <v>13</v>
      </c>
      <c r="B11" s="5">
        <v>1600</v>
      </c>
    </row>
    <row r="12" spans="1:2" x14ac:dyDescent="0.35">
      <c r="A12" s="4" t="s">
        <v>10</v>
      </c>
      <c r="B12" s="5">
        <v>2319</v>
      </c>
    </row>
    <row r="13" spans="1:2" x14ac:dyDescent="0.35">
      <c r="A13" s="4" t="s">
        <v>105</v>
      </c>
      <c r="B13" s="5">
        <v>198</v>
      </c>
    </row>
    <row r="14" spans="1:2" x14ac:dyDescent="0.35">
      <c r="A14" s="4" t="s">
        <v>84</v>
      </c>
      <c r="B14" s="5">
        <v>1666</v>
      </c>
    </row>
    <row r="15" spans="1:2" x14ac:dyDescent="0.35">
      <c r="A15" s="4" t="s">
        <v>9</v>
      </c>
      <c r="B15" s="5">
        <v>2999</v>
      </c>
    </row>
    <row r="16" spans="1:2" x14ac:dyDescent="0.35">
      <c r="A16" s="4" t="s">
        <v>104</v>
      </c>
      <c r="B16" s="5">
        <v>1875</v>
      </c>
    </row>
    <row r="17" spans="1:2" x14ac:dyDescent="0.35">
      <c r="A17" s="4" t="s">
        <v>95</v>
      </c>
      <c r="B17" s="5">
        <v>1200</v>
      </c>
    </row>
    <row r="18" spans="1:2" x14ac:dyDescent="0.35">
      <c r="A18" s="4" t="s">
        <v>51</v>
      </c>
      <c r="B18" s="5">
        <v>1200</v>
      </c>
    </row>
    <row r="19" spans="1:2" x14ac:dyDescent="0.35">
      <c r="A19" s="4" t="s">
        <v>77</v>
      </c>
      <c r="B19" s="5">
        <v>790</v>
      </c>
    </row>
    <row r="20" spans="1:2" x14ac:dyDescent="0.35">
      <c r="A20" s="4" t="s">
        <v>70</v>
      </c>
      <c r="B20" s="5">
        <v>3750</v>
      </c>
    </row>
    <row r="21" spans="1:2" x14ac:dyDescent="0.35">
      <c r="A21" s="4" t="s">
        <v>69</v>
      </c>
      <c r="B21" s="5">
        <v>1000</v>
      </c>
    </row>
    <row r="22" spans="1:2" x14ac:dyDescent="0.35">
      <c r="A22" s="4" t="s">
        <v>23</v>
      </c>
      <c r="B22" s="5">
        <v>998</v>
      </c>
    </row>
    <row r="23" spans="1:2" x14ac:dyDescent="0.35">
      <c r="A23" s="4" t="s">
        <v>78</v>
      </c>
      <c r="B23" s="5">
        <v>690</v>
      </c>
    </row>
    <row r="24" spans="1:2" x14ac:dyDescent="0.35">
      <c r="A24" s="4" t="s">
        <v>24</v>
      </c>
      <c r="B24" s="5">
        <v>38</v>
      </c>
    </row>
    <row r="25" spans="1:2" x14ac:dyDescent="0.35">
      <c r="A25" s="4" t="s">
        <v>98</v>
      </c>
      <c r="B25" s="5">
        <v>248</v>
      </c>
    </row>
    <row r="26" spans="1:2" x14ac:dyDescent="0.35">
      <c r="A26" s="4" t="s">
        <v>16</v>
      </c>
      <c r="B26" s="5">
        <v>552</v>
      </c>
    </row>
    <row r="27" spans="1:2" x14ac:dyDescent="0.35">
      <c r="A27" s="4" t="s">
        <v>44</v>
      </c>
      <c r="B27" s="5">
        <v>475</v>
      </c>
    </row>
    <row r="28" spans="1:2" x14ac:dyDescent="0.35">
      <c r="A28" s="4" t="s">
        <v>25</v>
      </c>
      <c r="B28" s="5">
        <v>1860</v>
      </c>
    </row>
    <row r="29" spans="1:2" x14ac:dyDescent="0.35">
      <c r="A29" s="4" t="s">
        <v>62</v>
      </c>
      <c r="B29" s="5">
        <v>2170</v>
      </c>
    </row>
    <row r="30" spans="1:2" x14ac:dyDescent="0.35">
      <c r="A30" s="4" t="s">
        <v>32</v>
      </c>
      <c r="B30" s="5">
        <v>1758</v>
      </c>
    </row>
    <row r="31" spans="1:2" x14ac:dyDescent="0.35">
      <c r="A31" s="4" t="s">
        <v>38</v>
      </c>
      <c r="B31" s="5">
        <v>1980</v>
      </c>
    </row>
    <row r="32" spans="1:2" x14ac:dyDescent="0.35">
      <c r="A32" s="4" t="s">
        <v>37</v>
      </c>
      <c r="B32" s="5">
        <v>1940</v>
      </c>
    </row>
    <row r="33" spans="1:2" x14ac:dyDescent="0.35">
      <c r="A33" s="4" t="s">
        <v>83</v>
      </c>
      <c r="B33" s="5">
        <v>1460</v>
      </c>
    </row>
    <row r="34" spans="1:2" x14ac:dyDescent="0.35">
      <c r="A34" s="4" t="s">
        <v>64</v>
      </c>
      <c r="B34" s="5">
        <v>2115</v>
      </c>
    </row>
    <row r="35" spans="1:2" x14ac:dyDescent="0.35">
      <c r="A35" s="4" t="s">
        <v>110</v>
      </c>
      <c r="B35" s="5">
        <v>199</v>
      </c>
    </row>
    <row r="36" spans="1:2" x14ac:dyDescent="0.35">
      <c r="A36" s="4" t="s">
        <v>94</v>
      </c>
      <c r="B36" s="5">
        <v>899</v>
      </c>
    </row>
    <row r="37" spans="1:2" x14ac:dyDescent="0.35">
      <c r="A37" s="4" t="s">
        <v>49</v>
      </c>
      <c r="B37" s="5">
        <v>1190</v>
      </c>
    </row>
    <row r="38" spans="1:2" x14ac:dyDescent="0.35">
      <c r="A38" s="4" t="s">
        <v>80</v>
      </c>
      <c r="B38" s="5">
        <v>230</v>
      </c>
    </row>
    <row r="39" spans="1:2" x14ac:dyDescent="0.35">
      <c r="A39" s="4" t="s">
        <v>75</v>
      </c>
      <c r="B39" s="5">
        <v>968</v>
      </c>
    </row>
    <row r="40" spans="1:2" x14ac:dyDescent="0.35">
      <c r="A40" s="4" t="s">
        <v>101</v>
      </c>
      <c r="B40" s="5">
        <v>1080</v>
      </c>
    </row>
    <row r="41" spans="1:2" x14ac:dyDescent="0.35">
      <c r="A41" s="4" t="s">
        <v>103</v>
      </c>
      <c r="B41" s="5">
        <v>1420</v>
      </c>
    </row>
    <row r="42" spans="1:2" x14ac:dyDescent="0.35">
      <c r="A42" s="4" t="s">
        <v>71</v>
      </c>
      <c r="B42" s="5">
        <v>382</v>
      </c>
    </row>
    <row r="43" spans="1:2" x14ac:dyDescent="0.35">
      <c r="A43" s="4" t="s">
        <v>60</v>
      </c>
      <c r="B43" s="5">
        <v>799</v>
      </c>
    </row>
    <row r="44" spans="1:2" x14ac:dyDescent="0.35">
      <c r="A44" s="4" t="s">
        <v>19</v>
      </c>
      <c r="B44" s="5">
        <v>332</v>
      </c>
    </row>
    <row r="45" spans="1:2" x14ac:dyDescent="0.35">
      <c r="A45" s="4" t="s">
        <v>68</v>
      </c>
      <c r="B45" s="5">
        <v>990</v>
      </c>
    </row>
    <row r="46" spans="1:2" x14ac:dyDescent="0.35">
      <c r="A46" s="4" t="s">
        <v>100</v>
      </c>
      <c r="B46" s="5">
        <v>525</v>
      </c>
    </row>
    <row r="47" spans="1:2" x14ac:dyDescent="0.35">
      <c r="A47" s="4" t="s">
        <v>46</v>
      </c>
      <c r="B47" s="5">
        <v>610</v>
      </c>
    </row>
    <row r="48" spans="1:2" x14ac:dyDescent="0.35">
      <c r="A48" s="4" t="s">
        <v>82</v>
      </c>
      <c r="B48" s="5">
        <v>979</v>
      </c>
    </row>
    <row r="49" spans="1:2" x14ac:dyDescent="0.35">
      <c r="A49" s="4" t="s">
        <v>112</v>
      </c>
      <c r="B49" s="5">
        <v>169</v>
      </c>
    </row>
    <row r="50" spans="1:2" x14ac:dyDescent="0.35">
      <c r="A50" s="4" t="s">
        <v>53</v>
      </c>
      <c r="B50" s="5">
        <v>299</v>
      </c>
    </row>
    <row r="51" spans="1:2" x14ac:dyDescent="0.35">
      <c r="A51" s="4" t="s">
        <v>50</v>
      </c>
      <c r="B51" s="5">
        <v>671</v>
      </c>
    </row>
    <row r="52" spans="1:2" x14ac:dyDescent="0.35">
      <c r="A52" s="4" t="s">
        <v>87</v>
      </c>
      <c r="B52" s="5">
        <v>274</v>
      </c>
    </row>
    <row r="53" spans="1:2" x14ac:dyDescent="0.35">
      <c r="A53" s="4" t="s">
        <v>107</v>
      </c>
      <c r="B53" s="5">
        <v>1190</v>
      </c>
    </row>
    <row r="54" spans="1:2" x14ac:dyDescent="0.35">
      <c r="A54" s="4" t="s">
        <v>48</v>
      </c>
      <c r="B54" s="5">
        <v>999</v>
      </c>
    </row>
    <row r="55" spans="1:2" x14ac:dyDescent="0.35">
      <c r="A55" s="4" t="s">
        <v>59</v>
      </c>
      <c r="B55" s="5">
        <v>699</v>
      </c>
    </row>
    <row r="56" spans="1:2" x14ac:dyDescent="0.35">
      <c r="A56" s="4" t="s">
        <v>40</v>
      </c>
      <c r="B56" s="5">
        <v>171</v>
      </c>
    </row>
    <row r="57" spans="1:2" x14ac:dyDescent="0.35">
      <c r="A57" s="4" t="s">
        <v>52</v>
      </c>
      <c r="B57" s="5">
        <v>199</v>
      </c>
    </row>
    <row r="58" spans="1:2" x14ac:dyDescent="0.35">
      <c r="A58" s="4" t="s">
        <v>79</v>
      </c>
      <c r="B58" s="5">
        <v>1732</v>
      </c>
    </row>
    <row r="59" spans="1:2" x14ac:dyDescent="0.35">
      <c r="A59" s="4" t="s">
        <v>57</v>
      </c>
      <c r="B59" s="5">
        <v>799</v>
      </c>
    </row>
    <row r="60" spans="1:2" x14ac:dyDescent="0.35">
      <c r="A60" s="4" t="s">
        <v>11</v>
      </c>
      <c r="B60" s="5">
        <v>988</v>
      </c>
    </row>
    <row r="61" spans="1:2" x14ac:dyDescent="0.35">
      <c r="A61" s="4" t="s">
        <v>39</v>
      </c>
      <c r="B61" s="5">
        <v>1620</v>
      </c>
    </row>
    <row r="62" spans="1:2" x14ac:dyDescent="0.35">
      <c r="A62" s="4" t="s">
        <v>76</v>
      </c>
      <c r="B62" s="5">
        <v>1570</v>
      </c>
    </row>
    <row r="63" spans="1:2" x14ac:dyDescent="0.35">
      <c r="A63" s="4" t="s">
        <v>29</v>
      </c>
      <c r="B63" s="5">
        <v>420</v>
      </c>
    </row>
    <row r="64" spans="1:2" x14ac:dyDescent="0.35">
      <c r="A64" s="4" t="s">
        <v>34</v>
      </c>
      <c r="B64" s="5">
        <v>185</v>
      </c>
    </row>
    <row r="65" spans="1:2" x14ac:dyDescent="0.35">
      <c r="A65" s="4" t="s">
        <v>27</v>
      </c>
      <c r="B65" s="5">
        <v>1650</v>
      </c>
    </row>
    <row r="66" spans="1:2" x14ac:dyDescent="0.35">
      <c r="A66" s="4" t="s">
        <v>14</v>
      </c>
      <c r="B66" s="5">
        <v>799</v>
      </c>
    </row>
    <row r="67" spans="1:2" x14ac:dyDescent="0.35">
      <c r="A67" s="4" t="s">
        <v>85</v>
      </c>
      <c r="B67" s="5">
        <v>330</v>
      </c>
    </row>
    <row r="68" spans="1:2" x14ac:dyDescent="0.35">
      <c r="A68" s="4" t="s">
        <v>66</v>
      </c>
      <c r="B68" s="5">
        <v>325</v>
      </c>
    </row>
    <row r="69" spans="1:2" x14ac:dyDescent="0.35">
      <c r="A69" s="4" t="s">
        <v>102</v>
      </c>
      <c r="B69" s="5">
        <v>3640</v>
      </c>
    </row>
    <row r="70" spans="1:2" x14ac:dyDescent="0.35">
      <c r="A70" s="4" t="s">
        <v>72</v>
      </c>
      <c r="B70" s="5">
        <v>2300</v>
      </c>
    </row>
    <row r="71" spans="1:2" x14ac:dyDescent="0.35">
      <c r="A71" s="4" t="s">
        <v>28</v>
      </c>
      <c r="B71" s="5">
        <v>2048</v>
      </c>
    </row>
    <row r="72" spans="1:2" x14ac:dyDescent="0.35">
      <c r="A72" s="4" t="s">
        <v>21</v>
      </c>
      <c r="B72" s="5">
        <v>2025</v>
      </c>
    </row>
    <row r="73" spans="1:2" x14ac:dyDescent="0.35">
      <c r="A73" s="4" t="s">
        <v>17</v>
      </c>
      <c r="B73" s="5">
        <v>501</v>
      </c>
    </row>
    <row r="74" spans="1:2" x14ac:dyDescent="0.35">
      <c r="A74" s="4" t="s">
        <v>12</v>
      </c>
      <c r="B74" s="5">
        <v>1274</v>
      </c>
    </row>
    <row r="75" spans="1:2" x14ac:dyDescent="0.35">
      <c r="A75" s="4" t="s">
        <v>43</v>
      </c>
      <c r="B75" s="5">
        <v>2750</v>
      </c>
    </row>
    <row r="76" spans="1:2" x14ac:dyDescent="0.35">
      <c r="A76" s="4" t="s">
        <v>36</v>
      </c>
      <c r="B76" s="5">
        <v>1820</v>
      </c>
    </row>
    <row r="77" spans="1:2" x14ac:dyDescent="0.35">
      <c r="A77" s="4" t="s">
        <v>26</v>
      </c>
      <c r="B77" s="5">
        <v>880</v>
      </c>
    </row>
    <row r="78" spans="1:2" x14ac:dyDescent="0.35">
      <c r="A78" s="4" t="s">
        <v>106</v>
      </c>
      <c r="B78" s="5">
        <v>1150</v>
      </c>
    </row>
    <row r="79" spans="1:2" x14ac:dyDescent="0.35">
      <c r="A79" s="4" t="s">
        <v>22</v>
      </c>
      <c r="B79" s="5">
        <v>2999</v>
      </c>
    </row>
    <row r="80" spans="1:2" x14ac:dyDescent="0.35">
      <c r="A80" s="4" t="s">
        <v>81</v>
      </c>
      <c r="B80" s="5">
        <v>1189</v>
      </c>
    </row>
    <row r="81" spans="1:2" x14ac:dyDescent="0.35">
      <c r="A81" s="4" t="s">
        <v>5</v>
      </c>
      <c r="B81" s="5">
        <v>527</v>
      </c>
    </row>
    <row r="82" spans="1:2" x14ac:dyDescent="0.35">
      <c r="A82" s="4" t="s">
        <v>99</v>
      </c>
      <c r="B82" s="5">
        <v>3546</v>
      </c>
    </row>
    <row r="83" spans="1:2" x14ac:dyDescent="0.35">
      <c r="A83" s="4" t="s">
        <v>45</v>
      </c>
      <c r="B83" s="5">
        <v>238</v>
      </c>
    </row>
    <row r="84" spans="1:2" x14ac:dyDescent="0.35">
      <c r="A84" s="4" t="s">
        <v>18</v>
      </c>
      <c r="B84" s="5">
        <v>1680</v>
      </c>
    </row>
    <row r="85" spans="1:2" x14ac:dyDescent="0.35">
      <c r="A85" s="4" t="s">
        <v>90</v>
      </c>
      <c r="B85" s="5">
        <v>630</v>
      </c>
    </row>
    <row r="86" spans="1:2" x14ac:dyDescent="0.35">
      <c r="A86" s="4" t="s">
        <v>33</v>
      </c>
      <c r="B86" s="5">
        <v>2200</v>
      </c>
    </row>
    <row r="87" spans="1:2" x14ac:dyDescent="0.35">
      <c r="A87" s="4" t="s">
        <v>56</v>
      </c>
      <c r="B87" s="5">
        <v>1459</v>
      </c>
    </row>
    <row r="88" spans="1:2" x14ac:dyDescent="0.35">
      <c r="A88" s="4" t="s">
        <v>63</v>
      </c>
      <c r="B88" s="5">
        <v>458</v>
      </c>
    </row>
    <row r="89" spans="1:2" x14ac:dyDescent="0.35">
      <c r="A89" s="4" t="s">
        <v>86</v>
      </c>
      <c r="B89" s="5">
        <v>1466</v>
      </c>
    </row>
    <row r="90" spans="1:2" x14ac:dyDescent="0.35">
      <c r="A90" s="4" t="s">
        <v>88</v>
      </c>
      <c r="B90" s="5">
        <v>799</v>
      </c>
    </row>
    <row r="91" spans="1:2" x14ac:dyDescent="0.35">
      <c r="A91" s="4" t="s">
        <v>20</v>
      </c>
      <c r="B91" s="5">
        <v>195</v>
      </c>
    </row>
    <row r="92" spans="1:2" x14ac:dyDescent="0.35">
      <c r="A92" s="4" t="s">
        <v>54</v>
      </c>
      <c r="B92" s="5">
        <v>1660</v>
      </c>
    </row>
    <row r="93" spans="1:2" x14ac:dyDescent="0.35">
      <c r="A93" s="4" t="s">
        <v>55</v>
      </c>
      <c r="B93" s="5">
        <v>299</v>
      </c>
    </row>
    <row r="94" spans="1:2" x14ac:dyDescent="0.35">
      <c r="A94" s="4" t="s">
        <v>8</v>
      </c>
      <c r="B94" s="5">
        <v>1740</v>
      </c>
    </row>
    <row r="95" spans="1:2" x14ac:dyDescent="0.35">
      <c r="A95" s="4" t="s">
        <v>6</v>
      </c>
      <c r="B95" s="5">
        <v>2199</v>
      </c>
    </row>
    <row r="96" spans="1:2" x14ac:dyDescent="0.35">
      <c r="A96" s="4" t="s">
        <v>97</v>
      </c>
      <c r="B96" s="5">
        <v>1462</v>
      </c>
    </row>
    <row r="97" spans="1:2" x14ac:dyDescent="0.35">
      <c r="A97" s="4" t="s">
        <v>30</v>
      </c>
      <c r="B97" s="5">
        <v>2880</v>
      </c>
    </row>
    <row r="98" spans="1:2" x14ac:dyDescent="0.35">
      <c r="A98" s="4" t="s">
        <v>92</v>
      </c>
      <c r="B98" s="5">
        <v>1300</v>
      </c>
    </row>
    <row r="99" spans="1:2" x14ac:dyDescent="0.35">
      <c r="A99" s="4" t="s">
        <v>41</v>
      </c>
      <c r="B99" s="5">
        <v>389</v>
      </c>
    </row>
    <row r="100" spans="1:2" x14ac:dyDescent="0.35">
      <c r="A100" s="4" t="s">
        <v>93</v>
      </c>
      <c r="B100" s="5">
        <v>105</v>
      </c>
    </row>
    <row r="101" spans="1:2" x14ac:dyDescent="0.35">
      <c r="A101" s="4" t="s">
        <v>47</v>
      </c>
      <c r="B101" s="5">
        <v>2132</v>
      </c>
    </row>
    <row r="102" spans="1:2" x14ac:dyDescent="0.35">
      <c r="A102" s="4" t="s">
        <v>108</v>
      </c>
      <c r="B102" s="5">
        <v>1658</v>
      </c>
    </row>
    <row r="103" spans="1:2" x14ac:dyDescent="0.35">
      <c r="A103" s="4" t="s">
        <v>58</v>
      </c>
      <c r="B103" s="5">
        <v>499</v>
      </c>
    </row>
    <row r="104" spans="1:2" x14ac:dyDescent="0.35">
      <c r="A104" s="4" t="s">
        <v>109</v>
      </c>
      <c r="B104" s="5">
        <v>1768</v>
      </c>
    </row>
    <row r="105" spans="1:2" x14ac:dyDescent="0.35">
      <c r="A105" s="4" t="s">
        <v>67</v>
      </c>
      <c r="B105" s="5">
        <v>1220</v>
      </c>
    </row>
    <row r="106" spans="1:2" x14ac:dyDescent="0.35">
      <c r="A106" s="4" t="s">
        <v>91</v>
      </c>
      <c r="B106" s="5">
        <v>850</v>
      </c>
    </row>
    <row r="107" spans="1:2" x14ac:dyDescent="0.35">
      <c r="A107" s="4" t="s">
        <v>96</v>
      </c>
      <c r="B107" s="5">
        <v>1526</v>
      </c>
    </row>
    <row r="108" spans="1:2" x14ac:dyDescent="0.35">
      <c r="A108" s="4" t="s">
        <v>111</v>
      </c>
      <c r="B108" s="5">
        <v>450</v>
      </c>
    </row>
    <row r="109" spans="1:2" x14ac:dyDescent="0.35">
      <c r="A109" s="4" t="s">
        <v>89</v>
      </c>
      <c r="B109" s="5">
        <v>1468</v>
      </c>
    </row>
    <row r="110" spans="1:2" x14ac:dyDescent="0.35">
      <c r="A110" s="4" t="s">
        <v>73</v>
      </c>
      <c r="B110" s="5">
        <v>345</v>
      </c>
    </row>
    <row r="111" spans="1:2" x14ac:dyDescent="0.35">
      <c r="A111" s="4" t="s">
        <v>7</v>
      </c>
      <c r="B111" s="5">
        <v>1580</v>
      </c>
    </row>
    <row r="112" spans="1:2" x14ac:dyDescent="0.35">
      <c r="A112" s="4" t="s">
        <v>74</v>
      </c>
      <c r="B112" s="5">
        <v>509</v>
      </c>
    </row>
    <row r="113" spans="1:2" x14ac:dyDescent="0.35">
      <c r="A113" s="4" t="s">
        <v>120</v>
      </c>
      <c r="B113" s="5">
        <v>3750</v>
      </c>
    </row>
    <row r="114" spans="1:2" x14ac:dyDescent="0.35">
      <c r="A114" s="4" t="s">
        <v>121</v>
      </c>
      <c r="B114" s="5">
        <v>3750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761C83-3C55-4FD4-882F-D5CA63474D99}">
  <dimension ref="A3:B10"/>
  <sheetViews>
    <sheetView topLeftCell="A9" workbookViewId="0">
      <selection activeCell="P31" sqref="P31"/>
    </sheetView>
  </sheetViews>
  <sheetFormatPr defaultRowHeight="14.5" x14ac:dyDescent="0.35"/>
  <cols>
    <col min="1" max="1" width="64.90625" bestFit="1" customWidth="1"/>
    <col min="2" max="2" width="25.1796875" bestFit="1" customWidth="1"/>
  </cols>
  <sheetData>
    <row r="3" spans="1:2" x14ac:dyDescent="0.35">
      <c r="A3" s="3" t="s">
        <v>119</v>
      </c>
      <c r="B3" t="s">
        <v>123</v>
      </c>
    </row>
    <row r="4" spans="1:2" x14ac:dyDescent="0.35">
      <c r="A4" s="4" t="s">
        <v>120</v>
      </c>
      <c r="B4" s="5"/>
    </row>
    <row r="5" spans="1:2" x14ac:dyDescent="0.35">
      <c r="A5" s="4" t="s">
        <v>109</v>
      </c>
      <c r="B5" s="5">
        <v>31</v>
      </c>
    </row>
    <row r="6" spans="1:2" x14ac:dyDescent="0.35">
      <c r="A6" s="4" t="s">
        <v>47</v>
      </c>
      <c r="B6" s="5">
        <v>37</v>
      </c>
    </row>
    <row r="7" spans="1:2" x14ac:dyDescent="0.35">
      <c r="A7" s="4" t="s">
        <v>97</v>
      </c>
      <c r="B7" s="5">
        <v>37</v>
      </c>
    </row>
    <row r="8" spans="1:2" x14ac:dyDescent="0.35">
      <c r="A8" s="4" t="s">
        <v>104</v>
      </c>
      <c r="B8" s="5">
        <v>24</v>
      </c>
    </row>
    <row r="9" spans="1:2" x14ac:dyDescent="0.35">
      <c r="A9" s="4" t="s">
        <v>84</v>
      </c>
      <c r="B9" s="5">
        <v>33</v>
      </c>
    </row>
    <row r="10" spans="1:2" x14ac:dyDescent="0.35">
      <c r="A10" s="4" t="s">
        <v>121</v>
      </c>
      <c r="B10" s="5">
        <v>32.4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E04EA-3E45-4E78-BAA0-4B6B6DF35C21}">
  <dimension ref="A3:B9"/>
  <sheetViews>
    <sheetView topLeftCell="A3" workbookViewId="0">
      <selection activeCell="A4" sqref="A4:A8"/>
    </sheetView>
  </sheetViews>
  <sheetFormatPr defaultRowHeight="14.5" x14ac:dyDescent="0.35"/>
  <cols>
    <col min="1" max="1" width="58" bestFit="1" customWidth="1"/>
    <col min="2" max="2" width="15.1796875" bestFit="1" customWidth="1"/>
  </cols>
  <sheetData>
    <row r="3" spans="1:2" x14ac:dyDescent="0.35">
      <c r="A3" s="3" t="s">
        <v>119</v>
      </c>
      <c r="B3" t="s">
        <v>124</v>
      </c>
    </row>
    <row r="4" spans="1:2" x14ac:dyDescent="0.35">
      <c r="A4" s="4" t="s">
        <v>15</v>
      </c>
      <c r="B4" s="5">
        <v>39</v>
      </c>
    </row>
    <row r="5" spans="1:2" x14ac:dyDescent="0.35">
      <c r="A5" s="4" t="s">
        <v>65</v>
      </c>
      <c r="B5" s="5">
        <v>69</v>
      </c>
    </row>
    <row r="6" spans="1:2" x14ac:dyDescent="0.35">
      <c r="A6" s="4" t="s">
        <v>10</v>
      </c>
      <c r="B6" s="5">
        <v>55</v>
      </c>
    </row>
    <row r="7" spans="1:2" x14ac:dyDescent="0.35">
      <c r="A7" s="4" t="s">
        <v>23</v>
      </c>
      <c r="B7" s="5">
        <v>44</v>
      </c>
    </row>
    <row r="8" spans="1:2" x14ac:dyDescent="0.35">
      <c r="A8" s="4" t="s">
        <v>29</v>
      </c>
      <c r="B8" s="5">
        <v>49</v>
      </c>
    </row>
    <row r="9" spans="1:2" x14ac:dyDescent="0.35">
      <c r="A9" s="4" t="s">
        <v>121</v>
      </c>
      <c r="B9" s="5">
        <v>256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378B1E-A442-4A02-ADA4-A645AB472C9C}">
  <dimension ref="A3:B9"/>
  <sheetViews>
    <sheetView topLeftCell="A4" workbookViewId="0">
      <selection activeCell="A3" sqref="A3"/>
    </sheetView>
  </sheetViews>
  <sheetFormatPr defaultRowHeight="14.5" x14ac:dyDescent="0.35"/>
  <cols>
    <col min="1" max="1" width="67.08984375" bestFit="1" customWidth="1"/>
    <col min="2" max="2" width="16.6328125" bestFit="1" customWidth="1"/>
  </cols>
  <sheetData>
    <row r="3" spans="1:2" x14ac:dyDescent="0.35">
      <c r="A3" s="3" t="s">
        <v>119</v>
      </c>
      <c r="B3" t="s">
        <v>125</v>
      </c>
    </row>
    <row r="4" spans="1:2" x14ac:dyDescent="0.35">
      <c r="A4" s="4" t="s">
        <v>64</v>
      </c>
      <c r="B4" s="5">
        <v>2.1</v>
      </c>
    </row>
    <row r="5" spans="1:2" x14ac:dyDescent="0.35">
      <c r="A5" s="4" t="s">
        <v>75</v>
      </c>
      <c r="B5" s="5">
        <v>2.2000000000000002</v>
      </c>
    </row>
    <row r="6" spans="1:2" x14ac:dyDescent="0.35">
      <c r="A6" s="4" t="s">
        <v>68</v>
      </c>
      <c r="B6" s="5">
        <v>2.2000000000000002</v>
      </c>
    </row>
    <row r="7" spans="1:2" x14ac:dyDescent="0.35">
      <c r="A7" s="4" t="s">
        <v>76</v>
      </c>
      <c r="B7" s="5">
        <v>2.1</v>
      </c>
    </row>
    <row r="8" spans="1:2" x14ac:dyDescent="0.35">
      <c r="A8" s="4" t="s">
        <v>111</v>
      </c>
      <c r="B8" s="5">
        <v>2</v>
      </c>
    </row>
    <row r="9" spans="1:2" x14ac:dyDescent="0.35">
      <c r="A9" s="4" t="s">
        <v>121</v>
      </c>
      <c r="B9" s="5">
        <v>2.12</v>
      </c>
    </row>
  </sheetData>
  <conditionalFormatting sqref="A4:A8">
    <cfRule type="top10" dxfId="2" priority="3" rank="5"/>
  </conditionalFormatting>
  <conditionalFormatting sqref="B3">
    <cfRule type="top10" dxfId="1" priority="2" rank="5"/>
  </conditionalFormatting>
  <conditionalFormatting sqref="B3">
    <cfRule type="top10" dxfId="0" priority="1" rank="10"/>
  </conditionalFormatting>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8B3432-BC11-4639-979C-3839F9F374DB}">
  <dimension ref="A3:B52"/>
  <sheetViews>
    <sheetView workbookViewId="0">
      <selection activeCell="E4" sqref="E4:F29"/>
    </sheetView>
  </sheetViews>
  <sheetFormatPr defaultRowHeight="14.5" x14ac:dyDescent="0.35"/>
  <cols>
    <col min="1" max="1" width="12.36328125" bestFit="1" customWidth="1"/>
    <col min="2" max="2" width="18.36328125" bestFit="1" customWidth="1"/>
  </cols>
  <sheetData>
    <row r="3" spans="1:2" x14ac:dyDescent="0.35">
      <c r="A3" s="3" t="s">
        <v>119</v>
      </c>
      <c r="B3" t="s">
        <v>135</v>
      </c>
    </row>
    <row r="4" spans="1:2" x14ac:dyDescent="0.35">
      <c r="A4" s="4">
        <v>0.01</v>
      </c>
      <c r="B4" s="5">
        <v>0</v>
      </c>
    </row>
    <row r="5" spans="1:2" x14ac:dyDescent="0.35">
      <c r="A5" s="4">
        <v>0.02</v>
      </c>
      <c r="B5" s="5">
        <v>0</v>
      </c>
    </row>
    <row r="6" spans="1:2" x14ac:dyDescent="0.35">
      <c r="A6" s="4">
        <v>0.03</v>
      </c>
      <c r="B6" s="5">
        <v>0</v>
      </c>
    </row>
    <row r="7" spans="1:2" x14ac:dyDescent="0.35">
      <c r="A7" s="4">
        <v>0.04</v>
      </c>
      <c r="B7" s="5">
        <v>0</v>
      </c>
    </row>
    <row r="8" spans="1:2" x14ac:dyDescent="0.35">
      <c r="A8" s="4">
        <v>0.08</v>
      </c>
      <c r="B8" s="5">
        <v>0</v>
      </c>
    </row>
    <row r="9" spans="1:2" x14ac:dyDescent="0.35">
      <c r="A9" s="4">
        <v>0.09</v>
      </c>
      <c r="B9" s="5">
        <v>15</v>
      </c>
    </row>
    <row r="10" spans="1:2" x14ac:dyDescent="0.35">
      <c r="A10" s="4">
        <v>0.11</v>
      </c>
      <c r="B10" s="5">
        <v>0</v>
      </c>
    </row>
    <row r="11" spans="1:2" x14ac:dyDescent="0.35">
      <c r="A11" s="4">
        <v>0.13</v>
      </c>
      <c r="B11" s="5">
        <v>6</v>
      </c>
    </row>
    <row r="12" spans="1:2" x14ac:dyDescent="0.35">
      <c r="A12" s="4">
        <v>0.14000000000000001</v>
      </c>
      <c r="B12" s="5">
        <v>0</v>
      </c>
    </row>
    <row r="13" spans="1:2" x14ac:dyDescent="0.35">
      <c r="A13" s="4">
        <v>0.18</v>
      </c>
      <c r="B13" s="5">
        <v>12</v>
      </c>
    </row>
    <row r="14" spans="1:2" x14ac:dyDescent="0.35">
      <c r="A14" s="4">
        <v>0.19</v>
      </c>
      <c r="B14" s="5">
        <v>5</v>
      </c>
    </row>
    <row r="15" spans="1:2" x14ac:dyDescent="0.35">
      <c r="A15" s="4">
        <v>0.2</v>
      </c>
      <c r="B15" s="5">
        <v>12</v>
      </c>
    </row>
    <row r="16" spans="1:2" x14ac:dyDescent="0.35">
      <c r="A16" s="4">
        <v>0.21</v>
      </c>
      <c r="B16" s="5">
        <v>1</v>
      </c>
    </row>
    <row r="17" spans="1:2" x14ac:dyDescent="0.35">
      <c r="A17" s="4">
        <v>0.22</v>
      </c>
      <c r="B17" s="5">
        <v>8</v>
      </c>
    </row>
    <row r="18" spans="1:2" x14ac:dyDescent="0.35">
      <c r="A18" s="4">
        <v>0.23</v>
      </c>
      <c r="B18" s="5">
        <v>14</v>
      </c>
    </row>
    <row r="19" spans="1:2" x14ac:dyDescent="0.35">
      <c r="A19" s="4">
        <v>0.24</v>
      </c>
      <c r="B19" s="5">
        <v>27.5</v>
      </c>
    </row>
    <row r="20" spans="1:2" x14ac:dyDescent="0.35">
      <c r="A20" s="4">
        <v>0.25</v>
      </c>
      <c r="B20" s="5">
        <v>24</v>
      </c>
    </row>
    <row r="21" spans="1:2" x14ac:dyDescent="0.35">
      <c r="A21" s="4">
        <v>0.26</v>
      </c>
      <c r="B21" s="5">
        <v>5</v>
      </c>
    </row>
    <row r="22" spans="1:2" x14ac:dyDescent="0.35">
      <c r="A22" s="4">
        <v>0.27</v>
      </c>
      <c r="B22" s="5">
        <v>17.333333333333332</v>
      </c>
    </row>
    <row r="23" spans="1:2" x14ac:dyDescent="0.35">
      <c r="A23" s="4">
        <v>0.28999999999999998</v>
      </c>
      <c r="B23" s="5">
        <v>5</v>
      </c>
    </row>
    <row r="24" spans="1:2" x14ac:dyDescent="0.35">
      <c r="A24" s="4">
        <v>0.3</v>
      </c>
      <c r="B24" s="5">
        <v>20</v>
      </c>
    </row>
    <row r="25" spans="1:2" x14ac:dyDescent="0.35">
      <c r="A25" s="4">
        <v>0.31086956521739134</v>
      </c>
      <c r="B25" s="5"/>
    </row>
    <row r="26" spans="1:2" x14ac:dyDescent="0.35">
      <c r="A26" s="4">
        <v>0.32</v>
      </c>
      <c r="B26" s="5">
        <v>13</v>
      </c>
    </row>
    <row r="27" spans="1:2" x14ac:dyDescent="0.35">
      <c r="A27" s="4">
        <v>0.33</v>
      </c>
      <c r="B27" s="5">
        <v>4.5</v>
      </c>
    </row>
    <row r="28" spans="1:2" x14ac:dyDescent="0.35">
      <c r="A28" s="4">
        <v>0.34</v>
      </c>
      <c r="B28" s="5">
        <v>12.75</v>
      </c>
    </row>
    <row r="29" spans="1:2" x14ac:dyDescent="0.35">
      <c r="A29" s="4">
        <v>0.35</v>
      </c>
      <c r="B29" s="5">
        <v>27.5</v>
      </c>
    </row>
    <row r="30" spans="1:2" x14ac:dyDescent="0.35">
      <c r="A30" s="4">
        <v>0.36</v>
      </c>
      <c r="B30" s="5">
        <v>0</v>
      </c>
    </row>
    <row r="31" spans="1:2" x14ac:dyDescent="0.35">
      <c r="A31" s="4">
        <v>0.36726433243555212</v>
      </c>
      <c r="B31" s="5"/>
    </row>
    <row r="32" spans="1:2" x14ac:dyDescent="0.35">
      <c r="A32" s="4">
        <v>0.37</v>
      </c>
      <c r="B32" s="5">
        <v>4.5</v>
      </c>
    </row>
    <row r="33" spans="1:2" x14ac:dyDescent="0.35">
      <c r="A33" s="4">
        <v>0.38</v>
      </c>
      <c r="B33" s="5">
        <v>1</v>
      </c>
    </row>
    <row r="34" spans="1:2" x14ac:dyDescent="0.35">
      <c r="A34" s="4">
        <v>0.39</v>
      </c>
      <c r="B34" s="5">
        <v>5</v>
      </c>
    </row>
    <row r="35" spans="1:2" x14ac:dyDescent="0.35">
      <c r="A35" s="4">
        <v>0.4</v>
      </c>
      <c r="B35" s="5">
        <v>1</v>
      </c>
    </row>
    <row r="36" spans="1:2" x14ac:dyDescent="0.35">
      <c r="A36" s="4">
        <v>0.41</v>
      </c>
      <c r="B36" s="5">
        <v>12</v>
      </c>
    </row>
    <row r="37" spans="1:2" x14ac:dyDescent="0.35">
      <c r="A37" s="4">
        <v>0.42</v>
      </c>
      <c r="B37" s="5">
        <v>1.5</v>
      </c>
    </row>
    <row r="38" spans="1:2" x14ac:dyDescent="0.35">
      <c r="A38" s="4">
        <v>0.43</v>
      </c>
      <c r="B38" s="5">
        <v>2.75</v>
      </c>
    </row>
    <row r="39" spans="1:2" x14ac:dyDescent="0.35">
      <c r="A39" s="4">
        <v>0.45</v>
      </c>
      <c r="B39" s="5">
        <v>7</v>
      </c>
    </row>
    <row r="40" spans="1:2" x14ac:dyDescent="0.35">
      <c r="A40" s="4">
        <v>0.46</v>
      </c>
      <c r="B40" s="5">
        <v>1</v>
      </c>
    </row>
    <row r="41" spans="1:2" x14ac:dyDescent="0.35">
      <c r="A41" s="4">
        <v>0.47</v>
      </c>
      <c r="B41" s="5">
        <v>5.5714285714285712</v>
      </c>
    </row>
    <row r="42" spans="1:2" x14ac:dyDescent="0.35">
      <c r="A42" s="4">
        <v>0.48</v>
      </c>
      <c r="B42" s="5">
        <v>2.25</v>
      </c>
    </row>
    <row r="43" spans="1:2" x14ac:dyDescent="0.35">
      <c r="A43" s="4">
        <v>0.49</v>
      </c>
      <c r="B43" s="5">
        <v>8.4285714285714288</v>
      </c>
    </row>
    <row r="44" spans="1:2" x14ac:dyDescent="0.35">
      <c r="A44" s="4">
        <v>0.5</v>
      </c>
      <c r="B44" s="5">
        <v>1.1428571428571428</v>
      </c>
    </row>
    <row r="45" spans="1:2" x14ac:dyDescent="0.35">
      <c r="A45" s="4">
        <v>0.51</v>
      </c>
      <c r="B45" s="5">
        <v>2</v>
      </c>
    </row>
    <row r="46" spans="1:2" x14ac:dyDescent="0.35">
      <c r="A46" s="4">
        <v>0.52</v>
      </c>
      <c r="B46" s="5">
        <v>12</v>
      </c>
    </row>
    <row r="47" spans="1:2" x14ac:dyDescent="0.35">
      <c r="A47" s="4">
        <v>0.53</v>
      </c>
      <c r="B47" s="5">
        <v>7.5</v>
      </c>
    </row>
    <row r="48" spans="1:2" x14ac:dyDescent="0.35">
      <c r="A48" s="4">
        <v>0.54</v>
      </c>
      <c r="B48" s="5">
        <v>8.5</v>
      </c>
    </row>
    <row r="49" spans="1:2" x14ac:dyDescent="0.35">
      <c r="A49" s="4">
        <v>0.55000000000000004</v>
      </c>
      <c r="B49" s="5">
        <v>6</v>
      </c>
    </row>
    <row r="50" spans="1:2" x14ac:dyDescent="0.35">
      <c r="A50" s="4">
        <v>0.61</v>
      </c>
      <c r="B50" s="5">
        <v>0</v>
      </c>
    </row>
    <row r="51" spans="1:2" x14ac:dyDescent="0.35">
      <c r="A51" s="4">
        <v>0.64</v>
      </c>
      <c r="B51" s="5">
        <v>0</v>
      </c>
    </row>
    <row r="52" spans="1:2" x14ac:dyDescent="0.35">
      <c r="A52" s="4" t="s">
        <v>121</v>
      </c>
      <c r="B52" s="5">
        <v>6.4553571428571432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4E9F9C-C163-4FA7-A9D2-2D992D2485E7}">
  <dimension ref="A1:B26"/>
  <sheetViews>
    <sheetView workbookViewId="0">
      <selection activeCell="B20" sqref="B20"/>
    </sheetView>
  </sheetViews>
  <sheetFormatPr defaultRowHeight="14.5" x14ac:dyDescent="0.35"/>
  <cols>
    <col min="1" max="1" width="11.81640625" bestFit="1" customWidth="1"/>
    <col min="2" max="2" width="18.36328125" bestFit="1" customWidth="1"/>
  </cols>
  <sheetData>
    <row r="1" spans="1:2" x14ac:dyDescent="0.35">
      <c r="A1" s="3" t="s">
        <v>137</v>
      </c>
      <c r="B1" t="s">
        <v>135</v>
      </c>
    </row>
    <row r="2" spans="1:2" x14ac:dyDescent="0.35">
      <c r="A2" s="4">
        <v>2</v>
      </c>
      <c r="B2" s="5">
        <v>1</v>
      </c>
    </row>
    <row r="3" spans="1:2" x14ac:dyDescent="0.35">
      <c r="A3" s="4">
        <v>2.1</v>
      </c>
      <c r="B3" s="5">
        <v>10</v>
      </c>
    </row>
    <row r="4" spans="1:2" x14ac:dyDescent="0.35">
      <c r="A4" s="4">
        <v>2.2000000000000002</v>
      </c>
      <c r="B4" s="5">
        <v>6</v>
      </c>
    </row>
    <row r="5" spans="1:2" x14ac:dyDescent="0.35">
      <c r="A5" s="4">
        <v>2.2999999999999998</v>
      </c>
      <c r="B5" s="5">
        <v>6.5</v>
      </c>
    </row>
    <row r="6" spans="1:2" x14ac:dyDescent="0.35">
      <c r="A6" s="4">
        <v>2.5</v>
      </c>
      <c r="B6" s="5">
        <v>6</v>
      </c>
    </row>
    <row r="7" spans="1:2" x14ac:dyDescent="0.35">
      <c r="A7" s="4">
        <v>2.6</v>
      </c>
      <c r="B7" s="5">
        <v>17</v>
      </c>
    </row>
    <row r="8" spans="1:2" x14ac:dyDescent="0.35">
      <c r="A8" s="4">
        <v>2.7</v>
      </c>
      <c r="B8" s="5">
        <v>15</v>
      </c>
    </row>
    <row r="9" spans="1:2" x14ac:dyDescent="0.35">
      <c r="A9" s="4">
        <v>2.8</v>
      </c>
      <c r="B9" s="5">
        <v>69</v>
      </c>
    </row>
    <row r="10" spans="1:2" x14ac:dyDescent="0.35">
      <c r="A10" s="4">
        <v>2.9</v>
      </c>
      <c r="B10" s="5">
        <v>16</v>
      </c>
    </row>
    <row r="11" spans="1:2" x14ac:dyDescent="0.35">
      <c r="A11" s="4">
        <v>3</v>
      </c>
      <c r="B11" s="5">
        <v>5.2</v>
      </c>
    </row>
    <row r="12" spans="1:2" x14ac:dyDescent="0.35">
      <c r="A12" s="4">
        <v>3.3</v>
      </c>
      <c r="B12" s="5">
        <v>13</v>
      </c>
    </row>
    <row r="13" spans="1:2" x14ac:dyDescent="0.35">
      <c r="A13" s="4">
        <v>3.8</v>
      </c>
      <c r="B13" s="5">
        <v>10</v>
      </c>
    </row>
    <row r="14" spans="1:2" x14ac:dyDescent="0.35">
      <c r="A14" s="4">
        <v>3.9025862068965518</v>
      </c>
      <c r="B14" s="5"/>
    </row>
    <row r="15" spans="1:2" x14ac:dyDescent="0.35">
      <c r="A15" s="4">
        <v>4</v>
      </c>
      <c r="B15" s="5">
        <v>6</v>
      </c>
    </row>
    <row r="16" spans="1:2" x14ac:dyDescent="0.35">
      <c r="A16" s="4">
        <v>4.0999999999999996</v>
      </c>
      <c r="B16" s="5">
        <v>15.333333333333334</v>
      </c>
    </row>
    <row r="17" spans="1:2" x14ac:dyDescent="0.35">
      <c r="A17" s="4">
        <v>4.2</v>
      </c>
      <c r="B17" s="5">
        <v>9</v>
      </c>
    </row>
    <row r="18" spans="1:2" x14ac:dyDescent="0.35">
      <c r="A18" s="4">
        <v>4.3</v>
      </c>
      <c r="B18" s="5">
        <v>15.25</v>
      </c>
    </row>
    <row r="19" spans="1:2" x14ac:dyDescent="0.35">
      <c r="A19" s="4">
        <v>4.4000000000000004</v>
      </c>
      <c r="B19" s="5">
        <v>14</v>
      </c>
    </row>
    <row r="20" spans="1:2" x14ac:dyDescent="0.35">
      <c r="A20" s="4">
        <v>4.5</v>
      </c>
      <c r="B20" s="5">
        <v>10.5</v>
      </c>
    </row>
    <row r="21" spans="1:2" x14ac:dyDescent="0.35">
      <c r="A21" s="4">
        <v>4.5999999999999996</v>
      </c>
      <c r="B21" s="5">
        <v>35.4</v>
      </c>
    </row>
    <row r="22" spans="1:2" x14ac:dyDescent="0.35">
      <c r="A22" s="4">
        <v>4.6500000000000004</v>
      </c>
      <c r="B22" s="5"/>
    </row>
    <row r="23" spans="1:2" x14ac:dyDescent="0.35">
      <c r="A23" s="4">
        <v>4.7</v>
      </c>
      <c r="B23" s="5">
        <v>19.5</v>
      </c>
    </row>
    <row r="24" spans="1:2" x14ac:dyDescent="0.35">
      <c r="A24" s="4">
        <v>4.8</v>
      </c>
      <c r="B24" s="5">
        <v>7.333333333333333</v>
      </c>
    </row>
    <row r="25" spans="1:2" x14ac:dyDescent="0.35">
      <c r="A25" s="4">
        <v>5</v>
      </c>
      <c r="B25" s="5">
        <v>1.7142857142857142</v>
      </c>
    </row>
    <row r="26" spans="1:2" x14ac:dyDescent="0.35">
      <c r="A26" s="4" t="s">
        <v>121</v>
      </c>
      <c r="B26" s="5">
        <v>12.684210526315789</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3F214B-9B51-4265-B92B-FFE5F85598A1}">
  <dimension ref="A3:B28"/>
  <sheetViews>
    <sheetView workbookViewId="0">
      <selection activeCell="A3" sqref="A3:B28"/>
    </sheetView>
  </sheetViews>
  <sheetFormatPr defaultRowHeight="14.5" x14ac:dyDescent="0.35"/>
  <cols>
    <col min="1" max="1" width="12.36328125" bestFit="1" customWidth="1"/>
    <col min="2" max="2" width="18.36328125" bestFit="1" customWidth="1"/>
  </cols>
  <sheetData>
    <row r="3" spans="1:2" x14ac:dyDescent="0.35">
      <c r="A3" s="3" t="s">
        <v>119</v>
      </c>
      <c r="B3" t="s">
        <v>135</v>
      </c>
    </row>
    <row r="4" spans="1:2" x14ac:dyDescent="0.35">
      <c r="A4" s="4">
        <v>2</v>
      </c>
      <c r="B4" s="5">
        <v>1</v>
      </c>
    </row>
    <row r="5" spans="1:2" x14ac:dyDescent="0.35">
      <c r="A5" s="4">
        <v>2.1</v>
      </c>
      <c r="B5" s="5">
        <v>10</v>
      </c>
    </row>
    <row r="6" spans="1:2" x14ac:dyDescent="0.35">
      <c r="A6" s="4">
        <v>2.2000000000000002</v>
      </c>
      <c r="B6" s="5">
        <v>6</v>
      </c>
    </row>
    <row r="7" spans="1:2" x14ac:dyDescent="0.35">
      <c r="A7" s="4">
        <v>2.2999999999999998</v>
      </c>
      <c r="B7" s="5">
        <v>6.5</v>
      </c>
    </row>
    <row r="8" spans="1:2" x14ac:dyDescent="0.35">
      <c r="A8" s="4">
        <v>2.5</v>
      </c>
      <c r="B8" s="5">
        <v>6</v>
      </c>
    </row>
    <row r="9" spans="1:2" x14ac:dyDescent="0.35">
      <c r="A9" s="4">
        <v>2.6</v>
      </c>
      <c r="B9" s="5">
        <v>17</v>
      </c>
    </row>
    <row r="10" spans="1:2" x14ac:dyDescent="0.35">
      <c r="A10" s="4">
        <v>2.7</v>
      </c>
      <c r="B10" s="5">
        <v>15</v>
      </c>
    </row>
    <row r="11" spans="1:2" x14ac:dyDescent="0.35">
      <c r="A11" s="4">
        <v>2.8</v>
      </c>
      <c r="B11" s="5">
        <v>69</v>
      </c>
    </row>
    <row r="12" spans="1:2" x14ac:dyDescent="0.35">
      <c r="A12" s="4">
        <v>2.9</v>
      </c>
      <c r="B12" s="5">
        <v>16</v>
      </c>
    </row>
    <row r="13" spans="1:2" x14ac:dyDescent="0.35">
      <c r="A13" s="4">
        <v>3</v>
      </c>
      <c r="B13" s="5">
        <v>5.2</v>
      </c>
    </row>
    <row r="14" spans="1:2" x14ac:dyDescent="0.35">
      <c r="A14" s="4">
        <v>3.3</v>
      </c>
      <c r="B14" s="5">
        <v>13</v>
      </c>
    </row>
    <row r="15" spans="1:2" x14ac:dyDescent="0.35">
      <c r="A15" s="4">
        <v>3.8</v>
      </c>
      <c r="B15" s="5">
        <v>10</v>
      </c>
    </row>
    <row r="16" spans="1:2" x14ac:dyDescent="0.35">
      <c r="A16" s="4">
        <v>3.9025862068965518</v>
      </c>
      <c r="B16" s="5"/>
    </row>
    <row r="17" spans="1:2" x14ac:dyDescent="0.35">
      <c r="A17" s="4">
        <v>4</v>
      </c>
      <c r="B17" s="5">
        <v>6</v>
      </c>
    </row>
    <row r="18" spans="1:2" x14ac:dyDescent="0.35">
      <c r="A18" s="4">
        <v>4.0999999999999996</v>
      </c>
      <c r="B18" s="5">
        <v>15.333333333333334</v>
      </c>
    </row>
    <row r="19" spans="1:2" x14ac:dyDescent="0.35">
      <c r="A19" s="4">
        <v>4.2</v>
      </c>
      <c r="B19" s="5">
        <v>9</v>
      </c>
    </row>
    <row r="20" spans="1:2" x14ac:dyDescent="0.35">
      <c r="A20" s="4">
        <v>4.3</v>
      </c>
      <c r="B20" s="5">
        <v>15.25</v>
      </c>
    </row>
    <row r="21" spans="1:2" x14ac:dyDescent="0.35">
      <c r="A21" s="4">
        <v>4.4000000000000004</v>
      </c>
      <c r="B21" s="5">
        <v>14</v>
      </c>
    </row>
    <row r="22" spans="1:2" x14ac:dyDescent="0.35">
      <c r="A22" s="4">
        <v>4.5</v>
      </c>
      <c r="B22" s="5">
        <v>10.5</v>
      </c>
    </row>
    <row r="23" spans="1:2" x14ac:dyDescent="0.35">
      <c r="A23" s="4">
        <v>4.5999999999999996</v>
      </c>
      <c r="B23" s="5">
        <v>35.4</v>
      </c>
    </row>
    <row r="24" spans="1:2" x14ac:dyDescent="0.35">
      <c r="A24" s="4">
        <v>4.6500000000000004</v>
      </c>
      <c r="B24" s="5"/>
    </row>
    <row r="25" spans="1:2" x14ac:dyDescent="0.35">
      <c r="A25" s="4">
        <v>4.7</v>
      </c>
      <c r="B25" s="5">
        <v>19.5</v>
      </c>
    </row>
    <row r="26" spans="1:2" x14ac:dyDescent="0.35">
      <c r="A26" s="4">
        <v>4.8</v>
      </c>
      <c r="B26" s="5">
        <v>7.333333333333333</v>
      </c>
    </row>
    <row r="27" spans="1:2" x14ac:dyDescent="0.35">
      <c r="A27" s="4">
        <v>5</v>
      </c>
      <c r="B27" s="5">
        <v>1.7142857142857142</v>
      </c>
    </row>
    <row r="28" spans="1:2" x14ac:dyDescent="0.35">
      <c r="A28" s="4" t="s">
        <v>121</v>
      </c>
      <c r="B28" s="5">
        <v>12.684210526315789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BA1527-0AAE-4A04-91FF-01986F8B169F}">
  <dimension ref="A1:I117"/>
  <sheetViews>
    <sheetView topLeftCell="B1" workbookViewId="0">
      <pane ySplit="1" topLeftCell="A70" activePane="bottomLeft" state="frozen"/>
      <selection pane="bottomLeft" activeCell="G1" sqref="G1:G1048576"/>
    </sheetView>
  </sheetViews>
  <sheetFormatPr defaultRowHeight="14.5" x14ac:dyDescent="0.35"/>
  <cols>
    <col min="1" max="1" width="89.1796875" bestFit="1" customWidth="1"/>
    <col min="2" max="2" width="11.7265625" style="2" bestFit="1" customWidth="1"/>
    <col min="3" max="3" width="10.7265625" style="2" bestFit="1" customWidth="1"/>
    <col min="4" max="4" width="15.6328125" customWidth="1"/>
    <col min="5" max="5" width="8.81640625" bestFit="1" customWidth="1"/>
    <col min="6" max="6" width="11.7265625" bestFit="1" customWidth="1"/>
    <col min="7" max="7" width="15.36328125" customWidth="1"/>
    <col min="8" max="8" width="13.90625" bestFit="1" customWidth="1"/>
    <col min="9" max="9" width="16" bestFit="1" customWidth="1"/>
  </cols>
  <sheetData>
    <row r="1" spans="1:9" x14ac:dyDescent="0.35">
      <c r="A1" t="s">
        <v>0</v>
      </c>
      <c r="B1" s="2" t="s">
        <v>1</v>
      </c>
      <c r="C1" s="2" t="s">
        <v>2</v>
      </c>
      <c r="D1" t="s">
        <v>118</v>
      </c>
      <c r="E1" t="s">
        <v>114</v>
      </c>
      <c r="F1" t="s">
        <v>3</v>
      </c>
      <c r="G1" t="s">
        <v>115</v>
      </c>
      <c r="H1" t="s">
        <v>116</v>
      </c>
      <c r="I1" t="s">
        <v>117</v>
      </c>
    </row>
    <row r="2" spans="1:9" x14ac:dyDescent="0.35">
      <c r="A2" t="s">
        <v>24</v>
      </c>
      <c r="B2" s="2">
        <v>38</v>
      </c>
      <c r="C2" s="2">
        <v>80</v>
      </c>
      <c r="D2" s="1">
        <v>0.53</v>
      </c>
      <c r="E2">
        <v>13</v>
      </c>
      <c r="F2">
        <v>3.3</v>
      </c>
      <c r="G2" s="2">
        <f t="shared" ref="G2:G33" si="0">C2-B2</f>
        <v>42</v>
      </c>
      <c r="H2" t="str">
        <f t="shared" ref="H2:H33" si="1">IF(F2="Not provided","N/A", IF(F2&lt;3, "Poor",IF(F2&lt;=4.4,"Average", "Excellent")))</f>
        <v>Average</v>
      </c>
      <c r="I2" t="str">
        <f t="shared" ref="I2:I33" si="2">IF(D2&gt;40%,"High",IF(D2&gt;=20%, "Medium","Low"))</f>
        <v>High</v>
      </c>
    </row>
    <row r="3" spans="1:9" x14ac:dyDescent="0.35">
      <c r="A3" t="s">
        <v>93</v>
      </c>
      <c r="B3" s="2">
        <v>105</v>
      </c>
      <c r="C3" s="2">
        <v>200</v>
      </c>
      <c r="D3" s="1">
        <v>0.48</v>
      </c>
      <c r="E3">
        <v>0</v>
      </c>
      <c r="F3" t="s">
        <v>113</v>
      </c>
      <c r="G3" s="2">
        <f t="shared" si="0"/>
        <v>95</v>
      </c>
      <c r="H3" t="str">
        <f t="shared" si="1"/>
        <v>N/A</v>
      </c>
      <c r="I3" t="str">
        <f t="shared" si="2"/>
        <v>High</v>
      </c>
    </row>
    <row r="4" spans="1:9" x14ac:dyDescent="0.35">
      <c r="A4" t="s">
        <v>112</v>
      </c>
      <c r="B4" s="2">
        <v>169</v>
      </c>
      <c r="C4" s="2">
        <v>320</v>
      </c>
      <c r="D4" s="1">
        <v>0.47</v>
      </c>
      <c r="E4">
        <v>0</v>
      </c>
      <c r="F4" t="s">
        <v>113</v>
      </c>
      <c r="G4" s="2">
        <f t="shared" si="0"/>
        <v>151</v>
      </c>
      <c r="H4" t="str">
        <f t="shared" si="1"/>
        <v>N/A</v>
      </c>
      <c r="I4" t="str">
        <f t="shared" si="2"/>
        <v>High</v>
      </c>
    </row>
    <row r="5" spans="1:9" x14ac:dyDescent="0.35">
      <c r="A5" t="s">
        <v>40</v>
      </c>
      <c r="B5" s="2">
        <v>171</v>
      </c>
      <c r="C5" s="2">
        <v>360</v>
      </c>
      <c r="D5" s="1">
        <v>0.53</v>
      </c>
      <c r="E5">
        <v>2</v>
      </c>
      <c r="F5">
        <v>5</v>
      </c>
      <c r="G5" s="2">
        <f t="shared" si="0"/>
        <v>189</v>
      </c>
      <c r="H5" t="str">
        <f t="shared" si="1"/>
        <v>Excellent</v>
      </c>
      <c r="I5" t="str">
        <f t="shared" si="2"/>
        <v>High</v>
      </c>
    </row>
    <row r="6" spans="1:9" x14ac:dyDescent="0.35">
      <c r="A6" t="s">
        <v>52</v>
      </c>
      <c r="B6" s="2">
        <v>176</v>
      </c>
      <c r="C6" s="2">
        <v>345</v>
      </c>
      <c r="D6" s="1">
        <v>0.49</v>
      </c>
      <c r="E6">
        <v>0</v>
      </c>
      <c r="F6" t="s">
        <v>113</v>
      </c>
      <c r="G6" s="2">
        <f t="shared" si="0"/>
        <v>169</v>
      </c>
      <c r="H6" t="str">
        <f t="shared" si="1"/>
        <v>N/A</v>
      </c>
      <c r="I6" t="str">
        <f t="shared" si="2"/>
        <v>High</v>
      </c>
    </row>
    <row r="7" spans="1:9" x14ac:dyDescent="0.35">
      <c r="A7" t="s">
        <v>34</v>
      </c>
      <c r="B7" s="2">
        <v>185</v>
      </c>
      <c r="C7" s="2">
        <v>382</v>
      </c>
      <c r="D7" s="1">
        <v>0.52</v>
      </c>
      <c r="E7">
        <v>9</v>
      </c>
      <c r="F7">
        <v>4.3</v>
      </c>
      <c r="G7" s="2">
        <f t="shared" si="0"/>
        <v>197</v>
      </c>
      <c r="H7" t="str">
        <f t="shared" si="1"/>
        <v>Average</v>
      </c>
      <c r="I7" t="str">
        <f t="shared" si="2"/>
        <v>High</v>
      </c>
    </row>
    <row r="8" spans="1:9" x14ac:dyDescent="0.35">
      <c r="A8" t="s">
        <v>20</v>
      </c>
      <c r="B8" s="2">
        <v>195</v>
      </c>
      <c r="C8" s="2">
        <v>360</v>
      </c>
      <c r="D8" s="1">
        <v>0.46</v>
      </c>
      <c r="E8">
        <v>2</v>
      </c>
      <c r="F8">
        <v>5</v>
      </c>
      <c r="G8" s="2">
        <f t="shared" si="0"/>
        <v>165</v>
      </c>
      <c r="H8" t="str">
        <f t="shared" si="1"/>
        <v>Excellent</v>
      </c>
      <c r="I8" t="str">
        <f t="shared" si="2"/>
        <v>High</v>
      </c>
    </row>
    <row r="9" spans="1:9" x14ac:dyDescent="0.35">
      <c r="A9" t="s">
        <v>105</v>
      </c>
      <c r="B9" s="2">
        <v>198</v>
      </c>
      <c r="C9" s="2">
        <v>260</v>
      </c>
      <c r="D9" s="1">
        <v>0.24</v>
      </c>
      <c r="E9">
        <v>0</v>
      </c>
      <c r="F9" t="s">
        <v>113</v>
      </c>
      <c r="G9" s="2">
        <f t="shared" si="0"/>
        <v>62</v>
      </c>
      <c r="H9" t="str">
        <f t="shared" si="1"/>
        <v>N/A</v>
      </c>
      <c r="I9" t="str">
        <f t="shared" si="2"/>
        <v>Medium</v>
      </c>
    </row>
    <row r="10" spans="1:9" x14ac:dyDescent="0.35">
      <c r="A10" t="s">
        <v>52</v>
      </c>
      <c r="B10" s="2">
        <v>199</v>
      </c>
      <c r="C10" s="2">
        <v>504</v>
      </c>
      <c r="D10" s="1">
        <v>0.61</v>
      </c>
      <c r="E10">
        <v>0</v>
      </c>
      <c r="F10" t="s">
        <v>113</v>
      </c>
      <c r="G10" s="2">
        <f t="shared" si="0"/>
        <v>305</v>
      </c>
      <c r="H10" t="str">
        <f t="shared" si="1"/>
        <v>N/A</v>
      </c>
      <c r="I10" t="str">
        <f t="shared" si="2"/>
        <v>High</v>
      </c>
    </row>
    <row r="11" spans="1:9" x14ac:dyDescent="0.35">
      <c r="A11" t="s">
        <v>110</v>
      </c>
      <c r="B11" s="2">
        <v>199</v>
      </c>
      <c r="C11" s="2">
        <v>553</v>
      </c>
      <c r="D11" s="1">
        <v>0.64</v>
      </c>
      <c r="E11">
        <v>0</v>
      </c>
      <c r="F11" t="s">
        <v>113</v>
      </c>
      <c r="G11" s="2">
        <f t="shared" si="0"/>
        <v>354</v>
      </c>
      <c r="H11" t="str">
        <f t="shared" si="1"/>
        <v>N/A</v>
      </c>
      <c r="I11" t="str">
        <f t="shared" si="2"/>
        <v>High</v>
      </c>
    </row>
    <row r="12" spans="1:9" x14ac:dyDescent="0.35">
      <c r="A12" t="s">
        <v>80</v>
      </c>
      <c r="B12" s="2">
        <v>230</v>
      </c>
      <c r="C12" s="2">
        <v>450</v>
      </c>
      <c r="D12" s="1">
        <v>0.49</v>
      </c>
      <c r="E12">
        <v>0</v>
      </c>
      <c r="F12" t="s">
        <v>113</v>
      </c>
      <c r="G12" s="2">
        <f t="shared" si="0"/>
        <v>220</v>
      </c>
      <c r="H12" t="str">
        <f t="shared" si="1"/>
        <v>N/A</v>
      </c>
      <c r="I12" t="str">
        <f t="shared" si="2"/>
        <v>High</v>
      </c>
    </row>
    <row r="13" spans="1:9" x14ac:dyDescent="0.35">
      <c r="A13" t="s">
        <v>45</v>
      </c>
      <c r="B13" s="2">
        <v>238</v>
      </c>
      <c r="C13" s="2">
        <v>476</v>
      </c>
      <c r="D13" s="1">
        <v>0.5</v>
      </c>
      <c r="E13">
        <v>0</v>
      </c>
      <c r="F13" t="s">
        <v>113</v>
      </c>
      <c r="G13" s="2">
        <f t="shared" si="0"/>
        <v>238</v>
      </c>
      <c r="H13" t="str">
        <f t="shared" si="1"/>
        <v>N/A</v>
      </c>
      <c r="I13" t="str">
        <f t="shared" si="2"/>
        <v>High</v>
      </c>
    </row>
    <row r="14" spans="1:9" x14ac:dyDescent="0.35">
      <c r="A14" t="s">
        <v>98</v>
      </c>
      <c r="B14" s="2">
        <v>248</v>
      </c>
      <c r="C14" s="2">
        <v>486</v>
      </c>
      <c r="D14" s="1">
        <v>0.49</v>
      </c>
      <c r="E14">
        <v>0</v>
      </c>
      <c r="F14" t="s">
        <v>113</v>
      </c>
      <c r="G14" s="2">
        <f t="shared" si="0"/>
        <v>238</v>
      </c>
      <c r="H14" t="str">
        <f t="shared" si="1"/>
        <v>N/A</v>
      </c>
      <c r="I14" t="str">
        <f t="shared" si="2"/>
        <v>High</v>
      </c>
    </row>
    <row r="15" spans="1:9" x14ac:dyDescent="0.35">
      <c r="A15" t="s">
        <v>87</v>
      </c>
      <c r="B15" s="2">
        <v>274</v>
      </c>
      <c r="C15" s="2">
        <v>537</v>
      </c>
      <c r="D15" s="1">
        <v>0.49</v>
      </c>
      <c r="E15">
        <v>0</v>
      </c>
      <c r="F15" t="s">
        <v>113</v>
      </c>
      <c r="G15" s="2">
        <f t="shared" si="0"/>
        <v>263</v>
      </c>
      <c r="H15" t="str">
        <f t="shared" si="1"/>
        <v>N/A</v>
      </c>
      <c r="I15" t="str">
        <f t="shared" si="2"/>
        <v>High</v>
      </c>
    </row>
    <row r="16" spans="1:9" x14ac:dyDescent="0.35">
      <c r="A16" t="s">
        <v>53</v>
      </c>
      <c r="B16" s="2">
        <v>299</v>
      </c>
      <c r="C16" s="2">
        <v>600</v>
      </c>
      <c r="D16" s="1">
        <v>0.5</v>
      </c>
      <c r="E16">
        <v>0</v>
      </c>
      <c r="F16" t="s">
        <v>113</v>
      </c>
      <c r="G16" s="2">
        <f t="shared" si="0"/>
        <v>301</v>
      </c>
      <c r="H16" t="str">
        <f t="shared" si="1"/>
        <v>N/A</v>
      </c>
      <c r="I16" t="str">
        <f t="shared" si="2"/>
        <v>High</v>
      </c>
    </row>
    <row r="17" spans="1:9" x14ac:dyDescent="0.35">
      <c r="A17" t="s">
        <v>55</v>
      </c>
      <c r="B17" s="2">
        <v>299</v>
      </c>
      <c r="C17" s="2">
        <v>384</v>
      </c>
      <c r="D17" s="1">
        <v>0.22</v>
      </c>
      <c r="E17">
        <v>0</v>
      </c>
      <c r="F17" t="s">
        <v>113</v>
      </c>
      <c r="G17" s="2">
        <f t="shared" si="0"/>
        <v>85</v>
      </c>
      <c r="H17" t="str">
        <f t="shared" si="1"/>
        <v>N/A</v>
      </c>
      <c r="I17" t="str">
        <f t="shared" si="2"/>
        <v>Medium</v>
      </c>
    </row>
    <row r="18" spans="1:9" x14ac:dyDescent="0.35">
      <c r="A18" t="s">
        <v>66</v>
      </c>
      <c r="B18" s="2">
        <v>325</v>
      </c>
      <c r="C18" s="2">
        <v>680</v>
      </c>
      <c r="D18" s="1">
        <v>0.52</v>
      </c>
      <c r="E18">
        <v>15</v>
      </c>
      <c r="F18">
        <v>2.7</v>
      </c>
      <c r="G18" s="2">
        <f t="shared" si="0"/>
        <v>355</v>
      </c>
      <c r="H18" t="str">
        <f t="shared" si="1"/>
        <v>Poor</v>
      </c>
      <c r="I18" t="str">
        <f t="shared" si="2"/>
        <v>High</v>
      </c>
    </row>
    <row r="19" spans="1:9" x14ac:dyDescent="0.35">
      <c r="A19" t="s">
        <v>85</v>
      </c>
      <c r="B19" s="2">
        <v>330</v>
      </c>
      <c r="C19" s="2">
        <v>647</v>
      </c>
      <c r="D19" s="1">
        <v>0.49</v>
      </c>
      <c r="E19">
        <v>1</v>
      </c>
      <c r="F19">
        <v>4</v>
      </c>
      <c r="G19" s="2">
        <f t="shared" si="0"/>
        <v>317</v>
      </c>
      <c r="H19" t="str">
        <f t="shared" si="1"/>
        <v>Average</v>
      </c>
      <c r="I19" t="str">
        <f t="shared" si="2"/>
        <v>High</v>
      </c>
    </row>
    <row r="20" spans="1:9" x14ac:dyDescent="0.35">
      <c r="A20" t="s">
        <v>19</v>
      </c>
      <c r="B20" s="2">
        <v>332</v>
      </c>
      <c r="C20" s="2">
        <v>684</v>
      </c>
      <c r="D20" s="1">
        <v>0.51</v>
      </c>
      <c r="E20">
        <v>2</v>
      </c>
      <c r="F20">
        <v>5</v>
      </c>
      <c r="G20" s="2">
        <f t="shared" si="0"/>
        <v>352</v>
      </c>
      <c r="H20" t="str">
        <f t="shared" si="1"/>
        <v>Excellent</v>
      </c>
      <c r="I20" t="str">
        <f t="shared" si="2"/>
        <v>High</v>
      </c>
    </row>
    <row r="21" spans="1:9" x14ac:dyDescent="0.35">
      <c r="A21" t="s">
        <v>73</v>
      </c>
      <c r="B21" s="2">
        <v>345</v>
      </c>
      <c r="C21" s="2">
        <v>602</v>
      </c>
      <c r="D21" s="1">
        <v>0.43</v>
      </c>
      <c r="E21">
        <v>6</v>
      </c>
      <c r="F21">
        <v>2.2999999999999998</v>
      </c>
      <c r="G21" s="2">
        <f t="shared" si="0"/>
        <v>257</v>
      </c>
      <c r="H21" t="str">
        <f t="shared" si="1"/>
        <v>Poor</v>
      </c>
      <c r="I21" t="str">
        <f t="shared" si="2"/>
        <v>High</v>
      </c>
    </row>
    <row r="22" spans="1:9" x14ac:dyDescent="0.35">
      <c r="A22" t="s">
        <v>71</v>
      </c>
      <c r="B22" s="2">
        <v>382</v>
      </c>
      <c r="C22" s="2">
        <v>700</v>
      </c>
      <c r="D22" s="1">
        <v>0.45</v>
      </c>
      <c r="E22">
        <v>17</v>
      </c>
      <c r="F22">
        <v>2.6</v>
      </c>
      <c r="G22" s="2">
        <f t="shared" si="0"/>
        <v>318</v>
      </c>
      <c r="H22" t="str">
        <f t="shared" si="1"/>
        <v>Poor</v>
      </c>
      <c r="I22" t="str">
        <f t="shared" si="2"/>
        <v>High</v>
      </c>
    </row>
    <row r="23" spans="1:9" x14ac:dyDescent="0.35">
      <c r="A23" t="s">
        <v>41</v>
      </c>
      <c r="B23" s="2">
        <v>389</v>
      </c>
      <c r="C23" s="2">
        <v>656</v>
      </c>
      <c r="D23" s="1">
        <v>0.41</v>
      </c>
      <c r="E23">
        <v>36</v>
      </c>
      <c r="F23">
        <v>4.3</v>
      </c>
      <c r="G23" s="2">
        <f t="shared" si="0"/>
        <v>267</v>
      </c>
      <c r="H23" t="str">
        <f t="shared" si="1"/>
        <v>Average</v>
      </c>
      <c r="I23" t="str">
        <f t="shared" si="2"/>
        <v>High</v>
      </c>
    </row>
    <row r="24" spans="1:9" x14ac:dyDescent="0.35">
      <c r="A24" t="s">
        <v>58</v>
      </c>
      <c r="B24" s="2">
        <v>399</v>
      </c>
      <c r="C24" s="2">
        <v>896</v>
      </c>
      <c r="D24" s="1">
        <v>0.55000000000000004</v>
      </c>
      <c r="E24">
        <v>0</v>
      </c>
      <c r="F24" t="s">
        <v>113</v>
      </c>
      <c r="G24" s="2">
        <f t="shared" si="0"/>
        <v>497</v>
      </c>
      <c r="H24" t="str">
        <f t="shared" si="1"/>
        <v>N/A</v>
      </c>
      <c r="I24" t="str">
        <f t="shared" si="2"/>
        <v>High</v>
      </c>
    </row>
    <row r="25" spans="1:9" x14ac:dyDescent="0.35">
      <c r="A25" t="s">
        <v>29</v>
      </c>
      <c r="B25" s="2">
        <v>420</v>
      </c>
      <c r="C25" s="2">
        <v>647</v>
      </c>
      <c r="D25" s="1">
        <v>0.35</v>
      </c>
      <c r="E25">
        <v>49</v>
      </c>
      <c r="F25">
        <v>4.5999999999999996</v>
      </c>
      <c r="G25" s="2">
        <f t="shared" si="0"/>
        <v>227</v>
      </c>
      <c r="H25" t="str">
        <f t="shared" si="1"/>
        <v>Excellent</v>
      </c>
      <c r="I25" t="str">
        <f t="shared" si="2"/>
        <v>Medium</v>
      </c>
    </row>
    <row r="26" spans="1:9" x14ac:dyDescent="0.35">
      <c r="A26" t="s">
        <v>65</v>
      </c>
      <c r="B26" s="2">
        <v>445</v>
      </c>
      <c r="C26" s="2">
        <v>873</v>
      </c>
      <c r="D26" s="1">
        <v>0.49</v>
      </c>
      <c r="E26">
        <v>69</v>
      </c>
      <c r="F26">
        <v>2.8</v>
      </c>
      <c r="G26" s="2">
        <f t="shared" si="0"/>
        <v>428</v>
      </c>
      <c r="H26" t="str">
        <f t="shared" si="1"/>
        <v>Poor</v>
      </c>
      <c r="I26" t="str">
        <f t="shared" si="2"/>
        <v>High</v>
      </c>
    </row>
    <row r="27" spans="1:9" x14ac:dyDescent="0.35">
      <c r="A27" t="s">
        <v>111</v>
      </c>
      <c r="B27" s="2">
        <v>450</v>
      </c>
      <c r="C27" s="2">
        <v>900</v>
      </c>
      <c r="D27" s="1">
        <v>0.5</v>
      </c>
      <c r="E27">
        <v>1</v>
      </c>
      <c r="F27">
        <v>2</v>
      </c>
      <c r="G27" s="2">
        <f t="shared" si="0"/>
        <v>450</v>
      </c>
      <c r="H27" t="str">
        <f t="shared" si="1"/>
        <v>Poor</v>
      </c>
      <c r="I27" t="str">
        <f t="shared" si="2"/>
        <v>High</v>
      </c>
    </row>
    <row r="28" spans="1:9" x14ac:dyDescent="0.35">
      <c r="A28" t="s">
        <v>63</v>
      </c>
      <c r="B28" s="2">
        <v>458</v>
      </c>
      <c r="C28" s="2">
        <v>986</v>
      </c>
      <c r="D28" s="1">
        <v>0.54</v>
      </c>
      <c r="E28">
        <v>10</v>
      </c>
      <c r="F28">
        <v>3</v>
      </c>
      <c r="G28" s="2">
        <f t="shared" si="0"/>
        <v>528</v>
      </c>
      <c r="H28" t="str">
        <f t="shared" si="1"/>
        <v>Average</v>
      </c>
      <c r="I28" t="str">
        <f t="shared" si="2"/>
        <v>High</v>
      </c>
    </row>
    <row r="29" spans="1:9" x14ac:dyDescent="0.35">
      <c r="A29" t="s">
        <v>44</v>
      </c>
      <c r="B29" s="2">
        <v>475</v>
      </c>
      <c r="C29" s="2">
        <v>931</v>
      </c>
      <c r="D29" s="1">
        <v>0.49</v>
      </c>
      <c r="E29">
        <v>0</v>
      </c>
      <c r="F29" t="s">
        <v>113</v>
      </c>
      <c r="G29" s="2">
        <f t="shared" si="0"/>
        <v>456</v>
      </c>
      <c r="H29" t="str">
        <f t="shared" si="1"/>
        <v>N/A</v>
      </c>
      <c r="I29" t="str">
        <f t="shared" si="2"/>
        <v>High</v>
      </c>
    </row>
    <row r="30" spans="1:9" x14ac:dyDescent="0.35">
      <c r="A30" t="s">
        <v>58</v>
      </c>
      <c r="B30" s="2">
        <v>499</v>
      </c>
      <c r="C30" s="2">
        <v>900</v>
      </c>
      <c r="D30" s="1">
        <v>0.45</v>
      </c>
      <c r="E30">
        <v>0</v>
      </c>
      <c r="F30" t="s">
        <v>113</v>
      </c>
      <c r="G30" s="2">
        <f t="shared" si="0"/>
        <v>401</v>
      </c>
      <c r="H30" t="str">
        <f t="shared" si="1"/>
        <v>N/A</v>
      </c>
      <c r="I30" t="str">
        <f t="shared" si="2"/>
        <v>High</v>
      </c>
    </row>
    <row r="31" spans="1:9" x14ac:dyDescent="0.35">
      <c r="A31" t="s">
        <v>17</v>
      </c>
      <c r="B31" s="2">
        <v>501</v>
      </c>
      <c r="C31" s="2">
        <v>860</v>
      </c>
      <c r="D31" s="1">
        <v>0.42</v>
      </c>
      <c r="E31">
        <v>6</v>
      </c>
      <c r="F31">
        <v>4.5</v>
      </c>
      <c r="G31" s="2">
        <f t="shared" si="0"/>
        <v>359</v>
      </c>
      <c r="H31" t="str">
        <f t="shared" si="1"/>
        <v>Excellent</v>
      </c>
      <c r="I31" t="str">
        <f t="shared" si="2"/>
        <v>High</v>
      </c>
    </row>
    <row r="32" spans="1:9" x14ac:dyDescent="0.35">
      <c r="A32" t="s">
        <v>74</v>
      </c>
      <c r="B32" s="2">
        <v>509</v>
      </c>
      <c r="C32" s="2">
        <v>899</v>
      </c>
      <c r="D32" s="1">
        <v>0.43</v>
      </c>
      <c r="E32">
        <v>5</v>
      </c>
      <c r="F32">
        <v>3</v>
      </c>
      <c r="G32" s="2">
        <f t="shared" si="0"/>
        <v>390</v>
      </c>
      <c r="H32" t="str">
        <f t="shared" si="1"/>
        <v>Average</v>
      </c>
      <c r="I32" t="str">
        <f t="shared" si="2"/>
        <v>High</v>
      </c>
    </row>
    <row r="33" spans="1:9" x14ac:dyDescent="0.35">
      <c r="A33" t="s">
        <v>100</v>
      </c>
      <c r="B33" s="2">
        <v>525</v>
      </c>
      <c r="C33" s="2">
        <v>1029</v>
      </c>
      <c r="D33" s="1">
        <v>0.49</v>
      </c>
      <c r="E33">
        <v>0</v>
      </c>
      <c r="F33" t="s">
        <v>113</v>
      </c>
      <c r="G33" s="2">
        <f t="shared" si="0"/>
        <v>504</v>
      </c>
      <c r="H33" t="str">
        <f t="shared" si="1"/>
        <v>N/A</v>
      </c>
      <c r="I33" t="str">
        <f t="shared" si="2"/>
        <v>High</v>
      </c>
    </row>
    <row r="34" spans="1:9" x14ac:dyDescent="0.35">
      <c r="A34" t="s">
        <v>5</v>
      </c>
      <c r="B34" s="2">
        <v>527</v>
      </c>
      <c r="C34" s="2">
        <v>999</v>
      </c>
      <c r="D34" s="1">
        <v>0.47</v>
      </c>
      <c r="E34">
        <v>14</v>
      </c>
      <c r="F34">
        <v>4.0999999999999996</v>
      </c>
      <c r="G34" s="2">
        <f t="shared" ref="G34:G65" si="3">C34-B34</f>
        <v>472</v>
      </c>
      <c r="H34" t="str">
        <f t="shared" ref="H34:H65" si="4">IF(F34="Not provided","N/A", IF(F34&lt;3, "Poor",IF(F34&lt;=4.4,"Average", "Excellent")))</f>
        <v>Average</v>
      </c>
      <c r="I34" t="str">
        <f t="shared" ref="I34:I65" si="5">IF(D34&gt;40%,"High",IF(D34&gt;=20%, "Medium","Low"))</f>
        <v>High</v>
      </c>
    </row>
    <row r="35" spans="1:9" x14ac:dyDescent="0.35">
      <c r="A35" t="s">
        <v>16</v>
      </c>
      <c r="B35" s="2">
        <v>552</v>
      </c>
      <c r="C35" s="2">
        <v>1035</v>
      </c>
      <c r="D35" s="1">
        <v>0.47</v>
      </c>
      <c r="E35">
        <v>12</v>
      </c>
      <c r="F35">
        <v>4.8</v>
      </c>
      <c r="G35" s="2">
        <f t="shared" si="3"/>
        <v>483</v>
      </c>
      <c r="H35" t="str">
        <f t="shared" si="4"/>
        <v>Excellent</v>
      </c>
      <c r="I35" t="str">
        <f t="shared" si="5"/>
        <v>High</v>
      </c>
    </row>
    <row r="36" spans="1:9" x14ac:dyDescent="0.35">
      <c r="A36" t="s">
        <v>46</v>
      </c>
      <c r="B36" s="2">
        <v>610</v>
      </c>
      <c r="C36" s="2">
        <v>1060</v>
      </c>
      <c r="D36" s="1">
        <v>0.42</v>
      </c>
      <c r="E36">
        <v>0</v>
      </c>
      <c r="F36" t="s">
        <v>113</v>
      </c>
      <c r="G36" s="2">
        <f t="shared" si="3"/>
        <v>450</v>
      </c>
      <c r="H36" t="str">
        <f t="shared" si="4"/>
        <v>N/A</v>
      </c>
      <c r="I36" t="str">
        <f t="shared" si="5"/>
        <v>High</v>
      </c>
    </row>
    <row r="37" spans="1:9" x14ac:dyDescent="0.35">
      <c r="A37" t="s">
        <v>90</v>
      </c>
      <c r="B37" s="2">
        <v>630</v>
      </c>
      <c r="C37" s="2">
        <v>1100</v>
      </c>
      <c r="D37" s="1">
        <v>0.43</v>
      </c>
      <c r="E37">
        <v>0</v>
      </c>
      <c r="F37" t="s">
        <v>113</v>
      </c>
      <c r="G37" s="2">
        <f t="shared" si="3"/>
        <v>470</v>
      </c>
      <c r="H37" t="str">
        <f t="shared" si="4"/>
        <v>N/A</v>
      </c>
      <c r="I37" t="str">
        <f t="shared" si="5"/>
        <v>High</v>
      </c>
    </row>
    <row r="38" spans="1:9" x14ac:dyDescent="0.35">
      <c r="A38" t="s">
        <v>60</v>
      </c>
      <c r="B38" s="2">
        <v>657</v>
      </c>
      <c r="C38" s="2">
        <v>1288</v>
      </c>
      <c r="D38" s="1">
        <v>0.49</v>
      </c>
      <c r="E38">
        <v>0</v>
      </c>
      <c r="F38" t="s">
        <v>113</v>
      </c>
      <c r="G38" s="2">
        <f t="shared" si="3"/>
        <v>631</v>
      </c>
      <c r="H38" t="str">
        <f t="shared" si="4"/>
        <v>N/A</v>
      </c>
      <c r="I38" t="str">
        <f t="shared" si="5"/>
        <v>High</v>
      </c>
    </row>
    <row r="39" spans="1:9" x14ac:dyDescent="0.35">
      <c r="A39" t="s">
        <v>50</v>
      </c>
      <c r="B39" s="2">
        <v>671</v>
      </c>
      <c r="C39" s="2">
        <v>1316</v>
      </c>
      <c r="D39" s="1">
        <v>0.49</v>
      </c>
      <c r="E39">
        <v>0</v>
      </c>
      <c r="F39" t="s">
        <v>113</v>
      </c>
      <c r="G39" s="2">
        <f t="shared" si="3"/>
        <v>645</v>
      </c>
      <c r="H39" t="str">
        <f t="shared" si="4"/>
        <v>N/A</v>
      </c>
      <c r="I39" t="str">
        <f t="shared" si="5"/>
        <v>High</v>
      </c>
    </row>
    <row r="40" spans="1:9" x14ac:dyDescent="0.35">
      <c r="A40" t="s">
        <v>78</v>
      </c>
      <c r="B40" s="2">
        <v>690</v>
      </c>
      <c r="C40" s="2">
        <v>1200</v>
      </c>
      <c r="D40" s="1">
        <v>0.43</v>
      </c>
      <c r="E40">
        <v>0</v>
      </c>
      <c r="F40" t="s">
        <v>113</v>
      </c>
      <c r="G40" s="2">
        <f t="shared" si="3"/>
        <v>510</v>
      </c>
      <c r="H40" t="str">
        <f t="shared" si="4"/>
        <v>N/A</v>
      </c>
      <c r="I40" t="str">
        <f t="shared" si="5"/>
        <v>High</v>
      </c>
    </row>
    <row r="41" spans="1:9" x14ac:dyDescent="0.35">
      <c r="A41" t="s">
        <v>59</v>
      </c>
      <c r="B41" s="2">
        <v>699</v>
      </c>
      <c r="C41" s="2">
        <v>1343</v>
      </c>
      <c r="D41" s="1">
        <v>0.48</v>
      </c>
      <c r="E41">
        <v>0</v>
      </c>
      <c r="F41" t="s">
        <v>113</v>
      </c>
      <c r="G41" s="2">
        <f t="shared" si="3"/>
        <v>644</v>
      </c>
      <c r="H41" t="str">
        <f t="shared" si="4"/>
        <v>N/A</v>
      </c>
      <c r="I41" t="str">
        <f t="shared" si="5"/>
        <v>High</v>
      </c>
    </row>
    <row r="42" spans="1:9" x14ac:dyDescent="0.35">
      <c r="A42" t="s">
        <v>77</v>
      </c>
      <c r="B42" s="2">
        <v>790</v>
      </c>
      <c r="C42" s="2">
        <v>1485</v>
      </c>
      <c r="D42" s="1">
        <v>0.47</v>
      </c>
      <c r="E42">
        <v>0</v>
      </c>
      <c r="F42" t="s">
        <v>113</v>
      </c>
      <c r="G42" s="2">
        <f t="shared" si="3"/>
        <v>695</v>
      </c>
      <c r="H42" t="str">
        <f t="shared" si="4"/>
        <v>N/A</v>
      </c>
      <c r="I42" t="str">
        <f t="shared" si="5"/>
        <v>High</v>
      </c>
    </row>
    <row r="43" spans="1:9" x14ac:dyDescent="0.35">
      <c r="A43" t="s">
        <v>14</v>
      </c>
      <c r="B43" s="2">
        <v>799</v>
      </c>
      <c r="C43" s="2">
        <v>999</v>
      </c>
      <c r="D43" s="1">
        <v>0.2</v>
      </c>
      <c r="E43">
        <v>12</v>
      </c>
      <c r="F43">
        <v>4.0999999999999996</v>
      </c>
      <c r="G43" s="2">
        <f t="shared" si="3"/>
        <v>200</v>
      </c>
      <c r="H43" t="str">
        <f t="shared" si="4"/>
        <v>Average</v>
      </c>
      <c r="I43" t="str">
        <f t="shared" si="5"/>
        <v>Medium</v>
      </c>
    </row>
    <row r="44" spans="1:9" x14ac:dyDescent="0.35">
      <c r="A44" t="s">
        <v>57</v>
      </c>
      <c r="B44" s="2">
        <v>799</v>
      </c>
      <c r="C44" s="2">
        <v>1343</v>
      </c>
      <c r="D44" s="1">
        <v>0.41</v>
      </c>
      <c r="E44">
        <v>0</v>
      </c>
      <c r="F44" t="s">
        <v>113</v>
      </c>
      <c r="G44" s="2">
        <f t="shared" si="3"/>
        <v>544</v>
      </c>
      <c r="H44" t="str">
        <f t="shared" si="4"/>
        <v>N/A</v>
      </c>
      <c r="I44" t="str">
        <f t="shared" si="5"/>
        <v>High</v>
      </c>
    </row>
    <row r="45" spans="1:9" x14ac:dyDescent="0.35">
      <c r="A45" t="s">
        <v>60</v>
      </c>
      <c r="B45" s="2">
        <v>799</v>
      </c>
      <c r="C45" s="2">
        <v>1567</v>
      </c>
      <c r="D45" s="1">
        <v>0.49</v>
      </c>
      <c r="E45">
        <v>0</v>
      </c>
      <c r="F45" t="s">
        <v>113</v>
      </c>
      <c r="G45" s="2">
        <f t="shared" si="3"/>
        <v>768</v>
      </c>
      <c r="H45" t="str">
        <f t="shared" si="4"/>
        <v>N/A</v>
      </c>
      <c r="I45" t="str">
        <f t="shared" si="5"/>
        <v>High</v>
      </c>
    </row>
    <row r="46" spans="1:9" x14ac:dyDescent="0.35">
      <c r="A46" t="s">
        <v>88</v>
      </c>
      <c r="B46" s="2">
        <v>799</v>
      </c>
      <c r="C46" s="2">
        <v>900</v>
      </c>
      <c r="D46" s="1">
        <v>0.11</v>
      </c>
      <c r="E46">
        <v>0</v>
      </c>
      <c r="F46" t="s">
        <v>113</v>
      </c>
      <c r="G46" s="2">
        <f t="shared" si="3"/>
        <v>101</v>
      </c>
      <c r="H46" t="str">
        <f t="shared" si="4"/>
        <v>N/A</v>
      </c>
      <c r="I46" t="str">
        <f t="shared" si="5"/>
        <v>Low</v>
      </c>
    </row>
    <row r="47" spans="1:9" x14ac:dyDescent="0.35">
      <c r="A47" t="s">
        <v>91</v>
      </c>
      <c r="B47" s="2">
        <v>850</v>
      </c>
      <c r="C47" s="2">
        <v>1700</v>
      </c>
      <c r="D47" s="1">
        <v>0.5</v>
      </c>
      <c r="E47">
        <v>0</v>
      </c>
      <c r="F47" t="s">
        <v>113</v>
      </c>
      <c r="G47" s="2">
        <f t="shared" si="3"/>
        <v>850</v>
      </c>
      <c r="H47" t="str">
        <f t="shared" si="4"/>
        <v>N/A</v>
      </c>
      <c r="I47" t="str">
        <f t="shared" si="5"/>
        <v>High</v>
      </c>
    </row>
    <row r="48" spans="1:9" x14ac:dyDescent="0.35">
      <c r="A48" t="s">
        <v>26</v>
      </c>
      <c r="B48" s="2">
        <v>880</v>
      </c>
      <c r="C48" s="2">
        <v>1350</v>
      </c>
      <c r="D48" s="1">
        <v>0.35</v>
      </c>
      <c r="E48">
        <v>6</v>
      </c>
      <c r="F48">
        <v>4</v>
      </c>
      <c r="G48" s="2">
        <f t="shared" si="3"/>
        <v>470</v>
      </c>
      <c r="H48" t="str">
        <f t="shared" si="4"/>
        <v>Average</v>
      </c>
      <c r="I48" t="str">
        <f t="shared" si="5"/>
        <v>Medium</v>
      </c>
    </row>
    <row r="49" spans="1:9" x14ac:dyDescent="0.35">
      <c r="A49" t="s">
        <v>94</v>
      </c>
      <c r="B49" s="2">
        <v>899</v>
      </c>
      <c r="C49" s="2">
        <v>1699</v>
      </c>
      <c r="D49" s="1">
        <v>0.47</v>
      </c>
      <c r="E49">
        <v>0</v>
      </c>
      <c r="F49" t="s">
        <v>113</v>
      </c>
      <c r="G49" s="2">
        <f t="shared" si="3"/>
        <v>800</v>
      </c>
      <c r="H49" t="str">
        <f t="shared" si="4"/>
        <v>N/A</v>
      </c>
      <c r="I49" t="str">
        <f t="shared" si="5"/>
        <v>High</v>
      </c>
    </row>
    <row r="50" spans="1:9" x14ac:dyDescent="0.35">
      <c r="A50" t="s">
        <v>4</v>
      </c>
      <c r="B50" s="2">
        <v>950</v>
      </c>
      <c r="C50" s="2">
        <v>1525</v>
      </c>
      <c r="D50" s="1">
        <v>0.38</v>
      </c>
      <c r="E50">
        <v>2</v>
      </c>
      <c r="F50">
        <v>4.5</v>
      </c>
      <c r="G50" s="2">
        <f t="shared" si="3"/>
        <v>575</v>
      </c>
      <c r="H50" t="str">
        <f t="shared" si="4"/>
        <v>Excellent</v>
      </c>
      <c r="I50" t="str">
        <f t="shared" si="5"/>
        <v>Medium</v>
      </c>
    </row>
    <row r="51" spans="1:9" x14ac:dyDescent="0.35">
      <c r="A51" t="s">
        <v>75</v>
      </c>
      <c r="B51" s="2">
        <v>968</v>
      </c>
      <c r="C51" s="2">
        <v>1814</v>
      </c>
      <c r="D51" s="1">
        <v>0.47</v>
      </c>
      <c r="E51">
        <v>6</v>
      </c>
      <c r="F51">
        <v>2.2000000000000002</v>
      </c>
      <c r="G51" s="2">
        <f t="shared" si="3"/>
        <v>846</v>
      </c>
      <c r="H51" t="str">
        <f t="shared" si="4"/>
        <v>Poor</v>
      </c>
      <c r="I51" t="str">
        <f t="shared" si="5"/>
        <v>High</v>
      </c>
    </row>
    <row r="52" spans="1:9" x14ac:dyDescent="0.35">
      <c r="A52" t="s">
        <v>82</v>
      </c>
      <c r="B52" s="2">
        <v>979</v>
      </c>
      <c r="C52" s="2">
        <v>1920</v>
      </c>
      <c r="D52" s="1">
        <v>0.49</v>
      </c>
      <c r="E52">
        <v>1</v>
      </c>
      <c r="F52">
        <v>5</v>
      </c>
      <c r="G52" s="2">
        <f t="shared" si="3"/>
        <v>941</v>
      </c>
      <c r="H52" t="str">
        <f t="shared" si="4"/>
        <v>Excellent</v>
      </c>
      <c r="I52" t="str">
        <f t="shared" si="5"/>
        <v>High</v>
      </c>
    </row>
    <row r="53" spans="1:9" x14ac:dyDescent="0.35">
      <c r="A53" t="s">
        <v>35</v>
      </c>
      <c r="B53" s="2">
        <v>980</v>
      </c>
      <c r="C53" s="2">
        <v>1490</v>
      </c>
      <c r="D53" s="1">
        <v>0.34</v>
      </c>
      <c r="E53">
        <v>12</v>
      </c>
      <c r="F53">
        <v>4.7</v>
      </c>
      <c r="G53" s="2">
        <f t="shared" si="3"/>
        <v>510</v>
      </c>
      <c r="H53" t="str">
        <f t="shared" si="4"/>
        <v>Excellent</v>
      </c>
      <c r="I53" t="str">
        <f t="shared" si="5"/>
        <v>Medium</v>
      </c>
    </row>
    <row r="54" spans="1:9" x14ac:dyDescent="0.35">
      <c r="A54" t="s">
        <v>11</v>
      </c>
      <c r="B54" s="2">
        <v>988</v>
      </c>
      <c r="C54" s="2">
        <v>1580</v>
      </c>
      <c r="D54" s="1">
        <v>0.37</v>
      </c>
      <c r="E54">
        <v>2</v>
      </c>
      <c r="F54">
        <v>4</v>
      </c>
      <c r="G54" s="2">
        <f t="shared" si="3"/>
        <v>592</v>
      </c>
      <c r="H54" t="str">
        <f t="shared" si="4"/>
        <v>Average</v>
      </c>
      <c r="I54" t="str">
        <f t="shared" si="5"/>
        <v>Medium</v>
      </c>
    </row>
    <row r="55" spans="1:9" x14ac:dyDescent="0.35">
      <c r="A55" t="s">
        <v>15</v>
      </c>
      <c r="B55" s="2">
        <v>990</v>
      </c>
      <c r="C55" s="2">
        <v>1500</v>
      </c>
      <c r="D55" s="1">
        <v>0.34</v>
      </c>
      <c r="E55">
        <v>39</v>
      </c>
      <c r="F55">
        <v>4.7</v>
      </c>
      <c r="G55" s="2">
        <f t="shared" si="3"/>
        <v>510</v>
      </c>
      <c r="H55" t="str">
        <f t="shared" si="4"/>
        <v>Excellent</v>
      </c>
      <c r="I55" t="str">
        <f t="shared" si="5"/>
        <v>Medium</v>
      </c>
    </row>
    <row r="56" spans="1:9" x14ac:dyDescent="0.35">
      <c r="A56" t="s">
        <v>68</v>
      </c>
      <c r="B56" s="2">
        <v>990</v>
      </c>
      <c r="C56" s="2">
        <v>1814</v>
      </c>
      <c r="D56" s="1">
        <v>0.45</v>
      </c>
      <c r="E56">
        <v>6</v>
      </c>
      <c r="F56">
        <v>2.2000000000000002</v>
      </c>
      <c r="G56" s="2">
        <f t="shared" si="3"/>
        <v>824</v>
      </c>
      <c r="H56" t="str">
        <f t="shared" si="4"/>
        <v>Poor</v>
      </c>
      <c r="I56" t="str">
        <f t="shared" si="5"/>
        <v>High</v>
      </c>
    </row>
    <row r="57" spans="1:9" x14ac:dyDescent="0.35">
      <c r="A57" t="s">
        <v>23</v>
      </c>
      <c r="B57" s="2">
        <v>998</v>
      </c>
      <c r="C57" s="2">
        <v>1966</v>
      </c>
      <c r="D57" s="1">
        <v>0.49</v>
      </c>
      <c r="E57">
        <v>44</v>
      </c>
      <c r="F57">
        <v>4.5999999999999996</v>
      </c>
      <c r="G57" s="2">
        <f t="shared" si="3"/>
        <v>968</v>
      </c>
      <c r="H57" t="str">
        <f t="shared" si="4"/>
        <v>Excellent</v>
      </c>
      <c r="I57" t="str">
        <f t="shared" si="5"/>
        <v>High</v>
      </c>
    </row>
    <row r="58" spans="1:9" x14ac:dyDescent="0.35">
      <c r="A58" t="s">
        <v>48</v>
      </c>
      <c r="B58" s="2">
        <v>999</v>
      </c>
      <c r="C58" s="2">
        <v>2000</v>
      </c>
      <c r="D58" s="1">
        <v>0.5</v>
      </c>
      <c r="E58">
        <v>0</v>
      </c>
      <c r="F58" t="s">
        <v>113</v>
      </c>
      <c r="G58" s="2">
        <f t="shared" si="3"/>
        <v>1001</v>
      </c>
      <c r="H58" t="str">
        <f t="shared" si="4"/>
        <v>N/A</v>
      </c>
      <c r="I58" t="str">
        <f t="shared" si="5"/>
        <v>High</v>
      </c>
    </row>
    <row r="59" spans="1:9" x14ac:dyDescent="0.35">
      <c r="A59" t="s">
        <v>69</v>
      </c>
      <c r="B59" s="2">
        <v>1000</v>
      </c>
      <c r="C59" s="2">
        <v>2000</v>
      </c>
      <c r="D59" s="1">
        <v>0.5</v>
      </c>
      <c r="E59">
        <v>7</v>
      </c>
      <c r="F59">
        <v>2.2999999999999998</v>
      </c>
      <c r="G59" s="2">
        <f t="shared" si="3"/>
        <v>1000</v>
      </c>
      <c r="H59" t="str">
        <f t="shared" si="4"/>
        <v>Poor</v>
      </c>
      <c r="I59" t="str">
        <f t="shared" si="5"/>
        <v>High</v>
      </c>
    </row>
    <row r="60" spans="1:9" x14ac:dyDescent="0.35">
      <c r="A60" t="s">
        <v>101</v>
      </c>
      <c r="B60" s="2">
        <v>1080</v>
      </c>
      <c r="C60" s="2">
        <v>1874</v>
      </c>
      <c r="D60" s="1">
        <v>0.42</v>
      </c>
      <c r="E60">
        <v>0</v>
      </c>
      <c r="F60" t="s">
        <v>113</v>
      </c>
      <c r="G60" s="2">
        <f t="shared" si="3"/>
        <v>794</v>
      </c>
      <c r="H60" t="str">
        <f t="shared" si="4"/>
        <v>N/A</v>
      </c>
      <c r="I60" t="str">
        <f t="shared" si="5"/>
        <v>High</v>
      </c>
    </row>
    <row r="61" spans="1:9" x14ac:dyDescent="0.35">
      <c r="A61" t="s">
        <v>106</v>
      </c>
      <c r="B61" s="2">
        <v>1150</v>
      </c>
      <c r="C61" s="2">
        <v>1737</v>
      </c>
      <c r="D61" s="1">
        <v>0.34</v>
      </c>
      <c r="E61">
        <v>0</v>
      </c>
      <c r="F61" t="s">
        <v>113</v>
      </c>
      <c r="G61" s="2">
        <f t="shared" si="3"/>
        <v>587</v>
      </c>
      <c r="H61" t="str">
        <f t="shared" si="4"/>
        <v>N/A</v>
      </c>
      <c r="I61" t="str">
        <f t="shared" si="5"/>
        <v>Medium</v>
      </c>
    </row>
    <row r="62" spans="1:9" x14ac:dyDescent="0.35">
      <c r="A62" t="s">
        <v>81</v>
      </c>
      <c r="B62" s="2">
        <v>1189</v>
      </c>
      <c r="C62" s="2">
        <v>2199</v>
      </c>
      <c r="D62" s="1">
        <v>0.46</v>
      </c>
      <c r="E62">
        <v>1</v>
      </c>
      <c r="F62">
        <v>3</v>
      </c>
      <c r="G62" s="2">
        <f t="shared" si="3"/>
        <v>1010</v>
      </c>
      <c r="H62" t="str">
        <f t="shared" si="4"/>
        <v>Average</v>
      </c>
      <c r="I62" t="str">
        <f t="shared" si="5"/>
        <v>High</v>
      </c>
    </row>
    <row r="63" spans="1:9" x14ac:dyDescent="0.35">
      <c r="A63" t="s">
        <v>49</v>
      </c>
      <c r="B63" s="2">
        <v>1190</v>
      </c>
      <c r="C63" s="2">
        <v>1785</v>
      </c>
      <c r="D63" s="1">
        <v>0.33</v>
      </c>
      <c r="E63">
        <v>0</v>
      </c>
      <c r="F63" t="s">
        <v>113</v>
      </c>
      <c r="G63" s="2">
        <f t="shared" si="3"/>
        <v>595</v>
      </c>
      <c r="H63" t="str">
        <f t="shared" si="4"/>
        <v>N/A</v>
      </c>
      <c r="I63" t="str">
        <f t="shared" si="5"/>
        <v>Medium</v>
      </c>
    </row>
    <row r="64" spans="1:9" x14ac:dyDescent="0.35">
      <c r="A64" t="s">
        <v>107</v>
      </c>
      <c r="B64" s="2">
        <v>1190</v>
      </c>
      <c r="C64" s="2">
        <v>1810</v>
      </c>
      <c r="D64" s="1">
        <v>0.34</v>
      </c>
      <c r="E64">
        <v>0</v>
      </c>
      <c r="F64" t="s">
        <v>113</v>
      </c>
      <c r="G64" s="2">
        <f t="shared" si="3"/>
        <v>620</v>
      </c>
      <c r="H64" t="str">
        <f t="shared" si="4"/>
        <v>N/A</v>
      </c>
      <c r="I64" t="str">
        <f t="shared" si="5"/>
        <v>Medium</v>
      </c>
    </row>
    <row r="65" spans="1:9" x14ac:dyDescent="0.35">
      <c r="A65" t="s">
        <v>51</v>
      </c>
      <c r="B65" s="2">
        <v>1200</v>
      </c>
      <c r="C65" s="2">
        <v>1950</v>
      </c>
      <c r="D65" s="1">
        <v>0.38</v>
      </c>
      <c r="E65">
        <v>0</v>
      </c>
      <c r="F65" t="s">
        <v>113</v>
      </c>
      <c r="G65" s="2">
        <f t="shared" si="3"/>
        <v>750</v>
      </c>
      <c r="H65" t="str">
        <f t="shared" si="4"/>
        <v>N/A</v>
      </c>
      <c r="I65" t="str">
        <f t="shared" si="5"/>
        <v>Medium</v>
      </c>
    </row>
    <row r="66" spans="1:9" x14ac:dyDescent="0.35">
      <c r="A66" t="s">
        <v>95</v>
      </c>
      <c r="B66" s="2">
        <v>1200</v>
      </c>
      <c r="C66" s="2">
        <v>2400</v>
      </c>
      <c r="D66" s="1">
        <v>0.5</v>
      </c>
      <c r="E66">
        <v>0</v>
      </c>
      <c r="F66" t="s">
        <v>113</v>
      </c>
      <c r="G66" s="2">
        <f t="shared" ref="G66:G98" si="6">C66-B66</f>
        <v>1200</v>
      </c>
      <c r="H66" t="str">
        <f t="shared" ref="H66:H98" si="7">IF(F66="Not provided","N/A", IF(F66&lt;3, "Poor",IF(F66&lt;=4.4,"Average", "Excellent")))</f>
        <v>N/A</v>
      </c>
      <c r="I66" t="str">
        <f t="shared" ref="I66:I98" si="8">IF(D66&gt;40%,"High",IF(D66&gt;=20%, "Medium","Low"))</f>
        <v>High</v>
      </c>
    </row>
    <row r="67" spans="1:9" x14ac:dyDescent="0.35">
      <c r="A67" t="s">
        <v>67</v>
      </c>
      <c r="B67" s="2">
        <v>1220</v>
      </c>
      <c r="C67" s="2">
        <v>1555</v>
      </c>
      <c r="D67" s="1">
        <v>0.22</v>
      </c>
      <c r="E67">
        <v>16</v>
      </c>
      <c r="F67">
        <v>2.9</v>
      </c>
      <c r="G67" s="2">
        <f t="shared" si="6"/>
        <v>335</v>
      </c>
      <c r="H67" t="str">
        <f t="shared" si="7"/>
        <v>Poor</v>
      </c>
      <c r="I67" t="str">
        <f t="shared" si="8"/>
        <v>Medium</v>
      </c>
    </row>
    <row r="68" spans="1:9" x14ac:dyDescent="0.35">
      <c r="A68" t="s">
        <v>12</v>
      </c>
      <c r="B68" s="2">
        <v>1274</v>
      </c>
      <c r="C68" s="2">
        <v>2800</v>
      </c>
      <c r="D68" s="1">
        <v>0.55000000000000004</v>
      </c>
      <c r="E68">
        <v>5</v>
      </c>
      <c r="F68">
        <v>4.8</v>
      </c>
      <c r="G68" s="2">
        <f t="shared" si="6"/>
        <v>1526</v>
      </c>
      <c r="H68" t="str">
        <f t="shared" si="7"/>
        <v>Excellent</v>
      </c>
      <c r="I68" t="str">
        <f t="shared" si="8"/>
        <v>High</v>
      </c>
    </row>
    <row r="69" spans="1:9" x14ac:dyDescent="0.35">
      <c r="A69" t="s">
        <v>92</v>
      </c>
      <c r="B69" s="2">
        <v>1300</v>
      </c>
      <c r="C69" s="2">
        <v>2500</v>
      </c>
      <c r="D69" s="1">
        <v>0.48</v>
      </c>
      <c r="E69">
        <v>0</v>
      </c>
      <c r="F69" t="s">
        <v>113</v>
      </c>
      <c r="G69" s="2">
        <f t="shared" si="6"/>
        <v>1200</v>
      </c>
      <c r="H69" t="str">
        <f t="shared" si="7"/>
        <v>N/A</v>
      </c>
      <c r="I69" t="str">
        <f t="shared" si="8"/>
        <v>High</v>
      </c>
    </row>
    <row r="70" spans="1:9" x14ac:dyDescent="0.35">
      <c r="A70" t="s">
        <v>31</v>
      </c>
      <c r="B70" s="2">
        <v>1350</v>
      </c>
      <c r="C70" s="2">
        <v>1990</v>
      </c>
      <c r="D70" s="1">
        <v>0.32</v>
      </c>
      <c r="E70">
        <v>13</v>
      </c>
      <c r="F70">
        <v>3.8</v>
      </c>
      <c r="G70" s="2">
        <f t="shared" si="6"/>
        <v>640</v>
      </c>
      <c r="H70" t="str">
        <f t="shared" si="7"/>
        <v>Average</v>
      </c>
      <c r="I70" t="str">
        <f t="shared" si="8"/>
        <v>Medium</v>
      </c>
    </row>
    <row r="71" spans="1:9" x14ac:dyDescent="0.35">
      <c r="A71" t="s">
        <v>103</v>
      </c>
      <c r="B71" s="2">
        <v>1420</v>
      </c>
      <c r="C71" s="2">
        <v>2420</v>
      </c>
      <c r="D71" s="1">
        <v>0.41</v>
      </c>
      <c r="E71">
        <v>0</v>
      </c>
      <c r="F71" t="s">
        <v>113</v>
      </c>
      <c r="G71" s="2">
        <f t="shared" si="6"/>
        <v>1000</v>
      </c>
      <c r="H71" t="str">
        <f t="shared" si="7"/>
        <v>N/A</v>
      </c>
      <c r="I71" t="str">
        <f t="shared" si="8"/>
        <v>High</v>
      </c>
    </row>
    <row r="72" spans="1:9" x14ac:dyDescent="0.35">
      <c r="A72" t="s">
        <v>56</v>
      </c>
      <c r="B72" s="2">
        <v>1459</v>
      </c>
      <c r="C72" s="2">
        <v>1499</v>
      </c>
      <c r="D72" s="1">
        <v>0.03</v>
      </c>
      <c r="E72">
        <v>0</v>
      </c>
      <c r="F72" t="s">
        <v>113</v>
      </c>
      <c r="G72" s="2">
        <f t="shared" si="6"/>
        <v>40</v>
      </c>
      <c r="H72" t="str">
        <f t="shared" si="7"/>
        <v>N/A</v>
      </c>
      <c r="I72" t="str">
        <f t="shared" si="8"/>
        <v>Low</v>
      </c>
    </row>
    <row r="73" spans="1:9" x14ac:dyDescent="0.35">
      <c r="A73" t="s">
        <v>83</v>
      </c>
      <c r="B73" s="2">
        <v>1460</v>
      </c>
      <c r="C73" s="2">
        <v>2290</v>
      </c>
      <c r="D73" s="1">
        <v>0.36</v>
      </c>
      <c r="E73">
        <v>0</v>
      </c>
      <c r="F73" t="s">
        <v>113</v>
      </c>
      <c r="G73" s="2">
        <f t="shared" si="6"/>
        <v>830</v>
      </c>
      <c r="H73" t="str">
        <f t="shared" si="7"/>
        <v>N/A</v>
      </c>
      <c r="I73" t="str">
        <f t="shared" si="8"/>
        <v>Medium</v>
      </c>
    </row>
    <row r="74" spans="1:9" x14ac:dyDescent="0.35">
      <c r="A74" t="s">
        <v>97</v>
      </c>
      <c r="B74" s="2">
        <v>1462</v>
      </c>
      <c r="C74" s="2">
        <v>1499</v>
      </c>
      <c r="D74" s="1">
        <v>0.02</v>
      </c>
      <c r="E74">
        <v>0</v>
      </c>
      <c r="F74" t="s">
        <v>113</v>
      </c>
      <c r="G74" s="2">
        <f t="shared" si="6"/>
        <v>37</v>
      </c>
      <c r="H74" t="str">
        <f t="shared" si="7"/>
        <v>N/A</v>
      </c>
      <c r="I74" t="str">
        <f t="shared" si="8"/>
        <v>Low</v>
      </c>
    </row>
    <row r="75" spans="1:9" x14ac:dyDescent="0.35">
      <c r="A75" t="s">
        <v>86</v>
      </c>
      <c r="B75" s="2">
        <v>1466</v>
      </c>
      <c r="C75" s="2">
        <v>1699</v>
      </c>
      <c r="D75" s="1">
        <v>0.14000000000000001</v>
      </c>
      <c r="E75">
        <v>0</v>
      </c>
      <c r="F75" t="s">
        <v>113</v>
      </c>
      <c r="G75" s="2">
        <f t="shared" si="6"/>
        <v>233</v>
      </c>
      <c r="H75" t="str">
        <f t="shared" si="7"/>
        <v>N/A</v>
      </c>
      <c r="I75" t="str">
        <f t="shared" si="8"/>
        <v>Low</v>
      </c>
    </row>
    <row r="76" spans="1:9" x14ac:dyDescent="0.35">
      <c r="A76" t="s">
        <v>89</v>
      </c>
      <c r="B76" s="2">
        <v>1468</v>
      </c>
      <c r="C76" s="2">
        <v>1699</v>
      </c>
      <c r="D76" s="1">
        <v>0.14000000000000001</v>
      </c>
      <c r="E76">
        <v>0</v>
      </c>
      <c r="F76" t="s">
        <v>113</v>
      </c>
      <c r="G76" s="2">
        <f t="shared" si="6"/>
        <v>231</v>
      </c>
      <c r="H76" t="str">
        <f t="shared" si="7"/>
        <v>N/A</v>
      </c>
      <c r="I76" t="str">
        <f t="shared" si="8"/>
        <v>Low</v>
      </c>
    </row>
    <row r="77" spans="1:9" x14ac:dyDescent="0.35">
      <c r="A77" t="s">
        <v>96</v>
      </c>
      <c r="B77" s="2">
        <v>1526</v>
      </c>
      <c r="C77" s="2">
        <v>1660</v>
      </c>
      <c r="D77" s="1">
        <v>0.08</v>
      </c>
      <c r="E77">
        <v>0</v>
      </c>
      <c r="F77" t="s">
        <v>113</v>
      </c>
      <c r="G77" s="2">
        <f t="shared" si="6"/>
        <v>134</v>
      </c>
      <c r="H77" t="str">
        <f t="shared" si="7"/>
        <v>N/A</v>
      </c>
      <c r="I77" t="str">
        <f t="shared" si="8"/>
        <v>Low</v>
      </c>
    </row>
    <row r="78" spans="1:9" x14ac:dyDescent="0.35">
      <c r="A78" t="s">
        <v>76</v>
      </c>
      <c r="B78" s="2">
        <v>1570</v>
      </c>
      <c r="C78" s="2">
        <v>2988</v>
      </c>
      <c r="D78" s="1">
        <v>0.47</v>
      </c>
      <c r="E78">
        <v>7</v>
      </c>
      <c r="F78">
        <v>2.1</v>
      </c>
      <c r="G78" s="2">
        <f t="shared" si="6"/>
        <v>1418</v>
      </c>
      <c r="H78" t="str">
        <f t="shared" si="7"/>
        <v>Poor</v>
      </c>
      <c r="I78" t="str">
        <f t="shared" si="8"/>
        <v>High</v>
      </c>
    </row>
    <row r="79" spans="1:9" x14ac:dyDescent="0.35">
      <c r="A79" t="s">
        <v>7</v>
      </c>
      <c r="B79" s="2">
        <v>1580</v>
      </c>
      <c r="C79" s="2">
        <v>2499</v>
      </c>
      <c r="D79" s="1">
        <v>0.37</v>
      </c>
      <c r="E79">
        <v>7</v>
      </c>
      <c r="F79">
        <v>4.7</v>
      </c>
      <c r="G79" s="2">
        <f t="shared" si="6"/>
        <v>919</v>
      </c>
      <c r="H79" t="str">
        <f t="shared" si="7"/>
        <v>Excellent</v>
      </c>
      <c r="I79" t="str">
        <f t="shared" si="8"/>
        <v>Medium</v>
      </c>
    </row>
    <row r="80" spans="1:9" x14ac:dyDescent="0.35">
      <c r="A80" t="s">
        <v>13</v>
      </c>
      <c r="B80" s="2">
        <v>1600</v>
      </c>
      <c r="C80" s="2">
        <v>2929</v>
      </c>
      <c r="D80" s="1">
        <v>0.45</v>
      </c>
      <c r="E80">
        <v>5</v>
      </c>
      <c r="F80">
        <v>3.8</v>
      </c>
      <c r="G80" s="2">
        <f t="shared" si="6"/>
        <v>1329</v>
      </c>
      <c r="H80" t="str">
        <f t="shared" si="7"/>
        <v>Average</v>
      </c>
      <c r="I80" t="str">
        <f t="shared" si="8"/>
        <v>High</v>
      </c>
    </row>
    <row r="81" spans="1:9" x14ac:dyDescent="0.35">
      <c r="A81" t="s">
        <v>39</v>
      </c>
      <c r="B81" s="2">
        <v>1620</v>
      </c>
      <c r="C81" s="2">
        <v>2690</v>
      </c>
      <c r="D81" s="1">
        <v>0.4</v>
      </c>
      <c r="E81">
        <v>1</v>
      </c>
      <c r="F81">
        <v>5</v>
      </c>
      <c r="G81" s="2">
        <f t="shared" si="6"/>
        <v>1070</v>
      </c>
      <c r="H81" t="str">
        <f t="shared" si="7"/>
        <v>Excellent</v>
      </c>
      <c r="I81" t="str">
        <f t="shared" si="8"/>
        <v>Medium</v>
      </c>
    </row>
    <row r="82" spans="1:9" x14ac:dyDescent="0.35">
      <c r="A82" t="s">
        <v>27</v>
      </c>
      <c r="B82" s="2">
        <v>1650</v>
      </c>
      <c r="C82" s="2">
        <v>2150</v>
      </c>
      <c r="D82" s="1">
        <v>0.23</v>
      </c>
      <c r="E82">
        <v>14</v>
      </c>
      <c r="F82">
        <v>4.4000000000000004</v>
      </c>
      <c r="G82" s="2">
        <f t="shared" si="6"/>
        <v>500</v>
      </c>
      <c r="H82" t="str">
        <f t="shared" si="7"/>
        <v>Average</v>
      </c>
      <c r="I82" t="str">
        <f t="shared" si="8"/>
        <v>Medium</v>
      </c>
    </row>
    <row r="83" spans="1:9" x14ac:dyDescent="0.35">
      <c r="A83" t="s">
        <v>108</v>
      </c>
      <c r="B83" s="2">
        <v>1658</v>
      </c>
      <c r="C83" s="2">
        <v>1699</v>
      </c>
      <c r="D83" s="1">
        <v>0.02</v>
      </c>
      <c r="E83">
        <v>0</v>
      </c>
      <c r="F83" t="s">
        <v>113</v>
      </c>
      <c r="G83" s="2">
        <f t="shared" si="6"/>
        <v>41</v>
      </c>
      <c r="H83" t="str">
        <f t="shared" si="7"/>
        <v>N/A</v>
      </c>
      <c r="I83" t="str">
        <f t="shared" si="8"/>
        <v>Low</v>
      </c>
    </row>
    <row r="84" spans="1:9" x14ac:dyDescent="0.35">
      <c r="A84" t="s">
        <v>54</v>
      </c>
      <c r="B84" s="2">
        <v>1660</v>
      </c>
      <c r="C84" s="2">
        <v>1699</v>
      </c>
      <c r="D84" s="1">
        <v>0.02</v>
      </c>
      <c r="E84">
        <v>0</v>
      </c>
      <c r="F84" t="s">
        <v>113</v>
      </c>
      <c r="G84" s="2">
        <f t="shared" si="6"/>
        <v>39</v>
      </c>
      <c r="H84" t="str">
        <f t="shared" si="7"/>
        <v>N/A</v>
      </c>
      <c r="I84" t="str">
        <f t="shared" si="8"/>
        <v>Low</v>
      </c>
    </row>
    <row r="85" spans="1:9" x14ac:dyDescent="0.35">
      <c r="A85" t="s">
        <v>84</v>
      </c>
      <c r="B85" s="2">
        <v>1666</v>
      </c>
      <c r="C85" s="2">
        <v>1699</v>
      </c>
      <c r="D85" s="1">
        <v>0.02</v>
      </c>
      <c r="E85">
        <v>0</v>
      </c>
      <c r="F85" t="s">
        <v>113</v>
      </c>
      <c r="G85" s="2">
        <f t="shared" si="6"/>
        <v>33</v>
      </c>
      <c r="H85" t="str">
        <f t="shared" si="7"/>
        <v>N/A</v>
      </c>
      <c r="I85" t="str">
        <f t="shared" si="8"/>
        <v>Low</v>
      </c>
    </row>
    <row r="86" spans="1:9" x14ac:dyDescent="0.35">
      <c r="A86" t="s">
        <v>18</v>
      </c>
      <c r="B86" s="2">
        <v>1680</v>
      </c>
      <c r="C86" s="2">
        <v>2499</v>
      </c>
      <c r="D86" s="1">
        <v>0.33</v>
      </c>
      <c r="E86">
        <v>9</v>
      </c>
      <c r="F86">
        <v>4.2</v>
      </c>
      <c r="G86" s="2">
        <f t="shared" si="6"/>
        <v>819</v>
      </c>
      <c r="H86" t="str">
        <f t="shared" si="7"/>
        <v>Average</v>
      </c>
      <c r="I86" t="str">
        <f t="shared" si="8"/>
        <v>Medium</v>
      </c>
    </row>
    <row r="87" spans="1:9" x14ac:dyDescent="0.35">
      <c r="A87" t="s">
        <v>79</v>
      </c>
      <c r="B87" s="2">
        <v>1732</v>
      </c>
      <c r="C87" s="2">
        <v>1799</v>
      </c>
      <c r="D87" s="1">
        <v>0.04</v>
      </c>
      <c r="E87">
        <v>0</v>
      </c>
      <c r="F87" t="s">
        <v>113</v>
      </c>
      <c r="G87" s="2">
        <f t="shared" si="6"/>
        <v>67</v>
      </c>
      <c r="H87" t="str">
        <f t="shared" si="7"/>
        <v>N/A</v>
      </c>
      <c r="I87" t="str">
        <f t="shared" si="8"/>
        <v>Low</v>
      </c>
    </row>
    <row r="88" spans="1:9" x14ac:dyDescent="0.35">
      <c r="A88" t="s">
        <v>8</v>
      </c>
      <c r="B88" s="2">
        <v>1740</v>
      </c>
      <c r="C88" s="2">
        <v>2356</v>
      </c>
      <c r="D88" s="1">
        <v>0.26</v>
      </c>
      <c r="E88">
        <v>5</v>
      </c>
      <c r="F88">
        <v>4.8</v>
      </c>
      <c r="G88" s="2">
        <f t="shared" si="6"/>
        <v>616</v>
      </c>
      <c r="H88" t="str">
        <f t="shared" si="7"/>
        <v>Excellent</v>
      </c>
      <c r="I88" t="str">
        <f t="shared" si="8"/>
        <v>Medium</v>
      </c>
    </row>
    <row r="89" spans="1:9" x14ac:dyDescent="0.35">
      <c r="A89" t="s">
        <v>32</v>
      </c>
      <c r="B89" s="2">
        <v>1758</v>
      </c>
      <c r="C89" s="2">
        <v>2499</v>
      </c>
      <c r="D89" s="1">
        <v>0.3</v>
      </c>
      <c r="E89">
        <v>20</v>
      </c>
      <c r="F89">
        <v>4.0999999999999996</v>
      </c>
      <c r="G89" s="2">
        <f t="shared" si="6"/>
        <v>741</v>
      </c>
      <c r="H89" t="str">
        <f t="shared" si="7"/>
        <v>Average</v>
      </c>
      <c r="I89" t="str">
        <f t="shared" si="8"/>
        <v>Medium</v>
      </c>
    </row>
    <row r="90" spans="1:9" x14ac:dyDescent="0.35">
      <c r="A90" t="s">
        <v>109</v>
      </c>
      <c r="B90" s="2">
        <v>1768</v>
      </c>
      <c r="C90" s="2">
        <v>1799</v>
      </c>
      <c r="D90" s="1">
        <v>0.02</v>
      </c>
      <c r="E90">
        <v>0</v>
      </c>
      <c r="F90" t="s">
        <v>113</v>
      </c>
      <c r="G90" s="2">
        <f t="shared" si="6"/>
        <v>31</v>
      </c>
      <c r="H90" t="str">
        <f t="shared" si="7"/>
        <v>N/A</v>
      </c>
      <c r="I90" t="str">
        <f t="shared" si="8"/>
        <v>Low</v>
      </c>
    </row>
    <row r="91" spans="1:9" x14ac:dyDescent="0.35">
      <c r="A91" t="s">
        <v>42</v>
      </c>
      <c r="B91" s="2">
        <v>1800</v>
      </c>
      <c r="C91" s="2">
        <v>2700</v>
      </c>
      <c r="D91" s="1">
        <v>0.38</v>
      </c>
      <c r="E91">
        <v>2</v>
      </c>
      <c r="F91">
        <v>4.5</v>
      </c>
      <c r="G91" s="2">
        <f t="shared" si="6"/>
        <v>900</v>
      </c>
      <c r="H91" t="str">
        <f t="shared" si="7"/>
        <v>Excellent</v>
      </c>
      <c r="I91" t="str">
        <f t="shared" si="8"/>
        <v>Medium</v>
      </c>
    </row>
    <row r="92" spans="1:9" x14ac:dyDescent="0.35">
      <c r="A92" t="s">
        <v>36</v>
      </c>
      <c r="B92" s="2">
        <v>1820</v>
      </c>
      <c r="C92" s="2">
        <v>3490</v>
      </c>
      <c r="D92" s="1">
        <v>0.48</v>
      </c>
      <c r="E92">
        <v>9</v>
      </c>
      <c r="F92">
        <v>4.3</v>
      </c>
      <c r="G92" s="2">
        <f t="shared" si="6"/>
        <v>1670</v>
      </c>
      <c r="H92" t="str">
        <f t="shared" si="7"/>
        <v>Average</v>
      </c>
      <c r="I92" t="str">
        <f t="shared" si="8"/>
        <v>High</v>
      </c>
    </row>
    <row r="93" spans="1:9" x14ac:dyDescent="0.35">
      <c r="A93" t="s">
        <v>25</v>
      </c>
      <c r="B93" s="2">
        <v>1860</v>
      </c>
      <c r="C93" s="2">
        <v>3220</v>
      </c>
      <c r="D93" s="1">
        <v>0.42</v>
      </c>
      <c r="E93">
        <v>0</v>
      </c>
      <c r="F93" t="s">
        <v>113</v>
      </c>
      <c r="G93" s="2">
        <f t="shared" si="6"/>
        <v>1360</v>
      </c>
      <c r="H93" t="str">
        <f t="shared" si="7"/>
        <v>N/A</v>
      </c>
      <c r="I93" t="str">
        <f t="shared" si="8"/>
        <v>High</v>
      </c>
    </row>
    <row r="94" spans="1:9" x14ac:dyDescent="0.35">
      <c r="A94" t="s">
        <v>104</v>
      </c>
      <c r="B94" s="2">
        <v>1875</v>
      </c>
      <c r="C94" s="2">
        <v>1899</v>
      </c>
      <c r="D94" s="1">
        <v>0.01</v>
      </c>
      <c r="E94">
        <v>0</v>
      </c>
      <c r="F94" t="s">
        <v>113</v>
      </c>
      <c r="G94" s="2">
        <f t="shared" si="6"/>
        <v>24</v>
      </c>
      <c r="H94" t="str">
        <f t="shared" si="7"/>
        <v>N/A</v>
      </c>
      <c r="I94" t="str">
        <f t="shared" si="8"/>
        <v>Low</v>
      </c>
    </row>
    <row r="95" spans="1:9" x14ac:dyDescent="0.35">
      <c r="A95" t="s">
        <v>37</v>
      </c>
      <c r="B95" s="2">
        <v>1940</v>
      </c>
      <c r="C95" s="2">
        <v>2650</v>
      </c>
      <c r="D95" s="1">
        <v>0.27</v>
      </c>
      <c r="E95">
        <v>20</v>
      </c>
      <c r="F95">
        <v>4.7</v>
      </c>
      <c r="G95" s="2">
        <f t="shared" si="6"/>
        <v>710</v>
      </c>
      <c r="H95" t="str">
        <f t="shared" si="7"/>
        <v>Excellent</v>
      </c>
      <c r="I95" t="str">
        <f t="shared" si="8"/>
        <v>Medium</v>
      </c>
    </row>
    <row r="96" spans="1:9" x14ac:dyDescent="0.35">
      <c r="A96" t="s">
        <v>38</v>
      </c>
      <c r="B96" s="2">
        <v>1980</v>
      </c>
      <c r="C96" s="2">
        <v>2699</v>
      </c>
      <c r="D96" s="1">
        <v>0.27</v>
      </c>
      <c r="E96">
        <v>32</v>
      </c>
      <c r="F96">
        <v>4.5</v>
      </c>
      <c r="G96" s="2">
        <f t="shared" si="6"/>
        <v>719</v>
      </c>
      <c r="H96" t="str">
        <f t="shared" si="7"/>
        <v>Excellent</v>
      </c>
      <c r="I96" t="str">
        <f t="shared" si="8"/>
        <v>Medium</v>
      </c>
    </row>
    <row r="97" spans="1:9" x14ac:dyDescent="0.35">
      <c r="A97" t="s">
        <v>21</v>
      </c>
      <c r="B97" s="2">
        <v>2025</v>
      </c>
      <c r="C97" s="2">
        <v>3971</v>
      </c>
      <c r="D97" s="1">
        <v>0.49</v>
      </c>
      <c r="E97">
        <v>3</v>
      </c>
      <c r="F97">
        <v>5</v>
      </c>
      <c r="G97" s="2">
        <f t="shared" si="6"/>
        <v>1946</v>
      </c>
      <c r="H97" t="str">
        <f t="shared" si="7"/>
        <v>Excellent</v>
      </c>
      <c r="I97" t="str">
        <f t="shared" si="8"/>
        <v>High</v>
      </c>
    </row>
    <row r="98" spans="1:9" x14ac:dyDescent="0.35">
      <c r="A98" t="s">
        <v>28</v>
      </c>
      <c r="B98" s="2">
        <v>2048</v>
      </c>
      <c r="C98" s="2">
        <v>4500</v>
      </c>
      <c r="D98" s="1">
        <v>0.54</v>
      </c>
      <c r="E98">
        <v>7</v>
      </c>
      <c r="F98">
        <v>4.3</v>
      </c>
      <c r="G98" s="2">
        <f t="shared" si="6"/>
        <v>2452</v>
      </c>
      <c r="H98" t="str">
        <f t="shared" si="7"/>
        <v>Average</v>
      </c>
      <c r="I98" t="str">
        <f t="shared" si="8"/>
        <v>High</v>
      </c>
    </row>
    <row r="99" spans="1:9" x14ac:dyDescent="0.35">
      <c r="B99" s="2">
        <f>AVERAGE(B53:B98)</f>
        <v>1469.108695652174</v>
      </c>
      <c r="C99" s="2">
        <f>AVERAGE(C53:C98)</f>
        <v>2220.6521739130435</v>
      </c>
      <c r="D99" s="1">
        <f>AVERAGE(D53:D98)</f>
        <v>0.31086956521739134</v>
      </c>
      <c r="F99">
        <f>AVERAGE(F97:F98)</f>
        <v>4.6500000000000004</v>
      </c>
      <c r="G99">
        <v>0</v>
      </c>
    </row>
    <row r="100" spans="1:9" x14ac:dyDescent="0.35">
      <c r="A100" t="s">
        <v>64</v>
      </c>
      <c r="B100" s="2">
        <v>2115</v>
      </c>
      <c r="C100" s="2">
        <v>4700</v>
      </c>
      <c r="D100" s="1">
        <v>0.55000000000000004</v>
      </c>
      <c r="E100">
        <v>13</v>
      </c>
      <c r="F100">
        <v>2.1</v>
      </c>
      <c r="G100" s="2">
        <f t="shared" ref="G100:G114" si="9">C100-B100</f>
        <v>2585</v>
      </c>
      <c r="H100" t="str">
        <f t="shared" ref="H100:H114" si="10">IF(F100="Not provided","N/A", IF(F100&lt;3, "Poor",IF(F100&lt;=4.4,"Average", "Excellent")))</f>
        <v>Poor</v>
      </c>
      <c r="I100" t="str">
        <f t="shared" ref="I100:I114" si="11">IF(D100&gt;40%,"High",IF(D100&gt;=20%, "Medium","Low"))</f>
        <v>High</v>
      </c>
    </row>
    <row r="101" spans="1:9" x14ac:dyDescent="0.35">
      <c r="A101" t="s">
        <v>47</v>
      </c>
      <c r="B101" s="2">
        <v>2132</v>
      </c>
      <c r="C101" s="2">
        <v>2169</v>
      </c>
      <c r="D101" s="1">
        <v>0.02</v>
      </c>
      <c r="E101">
        <v>0</v>
      </c>
      <c r="F101" t="s">
        <v>113</v>
      </c>
      <c r="G101" s="2">
        <f t="shared" si="9"/>
        <v>37</v>
      </c>
      <c r="H101" t="str">
        <f t="shared" si="10"/>
        <v>N/A</v>
      </c>
      <c r="I101" t="str">
        <f t="shared" si="11"/>
        <v>Low</v>
      </c>
    </row>
    <row r="102" spans="1:9" x14ac:dyDescent="0.35">
      <c r="A102" t="s">
        <v>62</v>
      </c>
      <c r="B102" s="2">
        <v>2170</v>
      </c>
      <c r="C102" s="2">
        <v>2500</v>
      </c>
      <c r="D102" s="1">
        <v>0.13</v>
      </c>
      <c r="E102">
        <v>6</v>
      </c>
      <c r="F102">
        <v>2.5</v>
      </c>
      <c r="G102" s="2">
        <f t="shared" si="9"/>
        <v>330</v>
      </c>
      <c r="H102" t="str">
        <f t="shared" si="10"/>
        <v>Poor</v>
      </c>
      <c r="I102" t="str">
        <f t="shared" si="11"/>
        <v>Low</v>
      </c>
    </row>
    <row r="103" spans="1:9" x14ac:dyDescent="0.35">
      <c r="A103" t="s">
        <v>6</v>
      </c>
      <c r="B103" s="2">
        <v>2199</v>
      </c>
      <c r="C103" s="2">
        <v>2923</v>
      </c>
      <c r="D103" s="1">
        <v>0.25</v>
      </c>
      <c r="E103">
        <v>24</v>
      </c>
      <c r="F103">
        <v>4.5999999999999996</v>
      </c>
      <c r="G103" s="2">
        <f t="shared" si="9"/>
        <v>724</v>
      </c>
      <c r="H103" t="str">
        <f t="shared" si="10"/>
        <v>Excellent</v>
      </c>
      <c r="I103" t="str">
        <f t="shared" si="11"/>
        <v>Medium</v>
      </c>
    </row>
    <row r="104" spans="1:9" x14ac:dyDescent="0.35">
      <c r="A104" t="s">
        <v>33</v>
      </c>
      <c r="B104" s="2">
        <v>2200</v>
      </c>
      <c r="C104" s="2">
        <v>4080</v>
      </c>
      <c r="D104" s="1">
        <v>0.46</v>
      </c>
      <c r="E104">
        <v>0</v>
      </c>
      <c r="F104" t="s">
        <v>113</v>
      </c>
      <c r="G104" s="2">
        <f t="shared" si="9"/>
        <v>1880</v>
      </c>
      <c r="H104" t="str">
        <f t="shared" si="10"/>
        <v>N/A</v>
      </c>
      <c r="I104" t="str">
        <f t="shared" si="11"/>
        <v>High</v>
      </c>
    </row>
    <row r="105" spans="1:9" x14ac:dyDescent="0.35">
      <c r="A105" t="s">
        <v>72</v>
      </c>
      <c r="B105" s="2">
        <v>2300</v>
      </c>
      <c r="C105" s="2">
        <v>3240</v>
      </c>
      <c r="D105" s="1">
        <v>0.28999999999999998</v>
      </c>
      <c r="E105">
        <v>5</v>
      </c>
      <c r="F105">
        <v>3</v>
      </c>
      <c r="G105" s="2">
        <f t="shared" si="9"/>
        <v>940</v>
      </c>
      <c r="H105" t="str">
        <f t="shared" si="10"/>
        <v>Average</v>
      </c>
      <c r="I105" t="str">
        <f t="shared" si="11"/>
        <v>Medium</v>
      </c>
    </row>
    <row r="106" spans="1:9" x14ac:dyDescent="0.35">
      <c r="A106" t="s">
        <v>10</v>
      </c>
      <c r="B106" s="2">
        <v>2319</v>
      </c>
      <c r="C106" s="2">
        <v>3032</v>
      </c>
      <c r="D106" s="1">
        <v>0.24</v>
      </c>
      <c r="E106">
        <v>55</v>
      </c>
      <c r="F106">
        <v>4.5999999999999996</v>
      </c>
      <c r="G106" s="2">
        <f t="shared" si="9"/>
        <v>713</v>
      </c>
      <c r="H106" t="str">
        <f t="shared" si="10"/>
        <v>Excellent</v>
      </c>
      <c r="I106" t="str">
        <f t="shared" si="11"/>
        <v>Medium</v>
      </c>
    </row>
    <row r="107" spans="1:9" x14ac:dyDescent="0.35">
      <c r="A107" t="s">
        <v>43</v>
      </c>
      <c r="B107" s="2">
        <v>2750</v>
      </c>
      <c r="C107" s="2">
        <v>4471</v>
      </c>
      <c r="D107" s="1">
        <v>0.38</v>
      </c>
      <c r="E107">
        <v>0</v>
      </c>
      <c r="F107" t="s">
        <v>113</v>
      </c>
      <c r="G107" s="2">
        <f t="shared" si="9"/>
        <v>1721</v>
      </c>
      <c r="H107" t="str">
        <f t="shared" si="10"/>
        <v>N/A</v>
      </c>
      <c r="I107" t="str">
        <f t="shared" si="11"/>
        <v>Medium</v>
      </c>
    </row>
    <row r="108" spans="1:9" x14ac:dyDescent="0.35">
      <c r="A108" t="s">
        <v>61</v>
      </c>
      <c r="B108" s="2">
        <v>2799</v>
      </c>
      <c r="C108" s="2">
        <v>3810</v>
      </c>
      <c r="D108" s="1">
        <v>0.27</v>
      </c>
      <c r="E108">
        <v>0</v>
      </c>
      <c r="F108" t="s">
        <v>113</v>
      </c>
      <c r="G108" s="2">
        <f t="shared" si="9"/>
        <v>1011</v>
      </c>
      <c r="H108" t="str">
        <f t="shared" si="10"/>
        <v>N/A</v>
      </c>
      <c r="I108" t="str">
        <f t="shared" si="11"/>
        <v>Medium</v>
      </c>
    </row>
    <row r="109" spans="1:9" x14ac:dyDescent="0.35">
      <c r="A109" t="s">
        <v>30</v>
      </c>
      <c r="B109" s="2">
        <v>2880</v>
      </c>
      <c r="C109" s="2">
        <v>3520</v>
      </c>
      <c r="D109" s="1">
        <v>0.18</v>
      </c>
      <c r="E109">
        <v>12</v>
      </c>
      <c r="F109">
        <v>3.8</v>
      </c>
      <c r="G109" s="2">
        <f t="shared" si="9"/>
        <v>640</v>
      </c>
      <c r="H109" t="str">
        <f t="shared" si="10"/>
        <v>Average</v>
      </c>
      <c r="I109" t="str">
        <f t="shared" si="11"/>
        <v>Low</v>
      </c>
    </row>
    <row r="110" spans="1:9" x14ac:dyDescent="0.35">
      <c r="A110" t="s">
        <v>9</v>
      </c>
      <c r="B110" s="2">
        <v>2999</v>
      </c>
      <c r="C110" s="2">
        <v>3290</v>
      </c>
      <c r="D110" s="1">
        <v>0.09</v>
      </c>
      <c r="E110">
        <v>15</v>
      </c>
      <c r="F110">
        <v>4</v>
      </c>
      <c r="G110" s="2">
        <f t="shared" si="9"/>
        <v>291</v>
      </c>
      <c r="H110" t="str">
        <f t="shared" si="10"/>
        <v>Average</v>
      </c>
      <c r="I110" t="str">
        <f t="shared" si="11"/>
        <v>Low</v>
      </c>
    </row>
    <row r="111" spans="1:9" x14ac:dyDescent="0.35">
      <c r="A111" t="s">
        <v>22</v>
      </c>
      <c r="B111" s="2">
        <v>2999</v>
      </c>
      <c r="C111" s="2">
        <v>3699</v>
      </c>
      <c r="D111" s="1">
        <v>0.19</v>
      </c>
      <c r="E111">
        <v>5</v>
      </c>
      <c r="F111">
        <v>4.5999999999999996</v>
      </c>
      <c r="G111" s="2">
        <f t="shared" si="9"/>
        <v>700</v>
      </c>
      <c r="H111" t="str">
        <f t="shared" si="10"/>
        <v>Excellent</v>
      </c>
      <c r="I111" t="str">
        <f t="shared" si="11"/>
        <v>Low</v>
      </c>
    </row>
    <row r="112" spans="1:9" x14ac:dyDescent="0.35">
      <c r="A112" t="s">
        <v>99</v>
      </c>
      <c r="B112" s="2">
        <v>3546</v>
      </c>
      <c r="C112" s="2">
        <v>3699</v>
      </c>
      <c r="D112" s="1">
        <v>0.04</v>
      </c>
      <c r="E112">
        <v>0</v>
      </c>
      <c r="F112" t="s">
        <v>113</v>
      </c>
      <c r="G112" s="2">
        <f t="shared" si="9"/>
        <v>153</v>
      </c>
      <c r="H112" t="str">
        <f t="shared" si="10"/>
        <v>N/A</v>
      </c>
      <c r="I112" t="str">
        <f t="shared" si="11"/>
        <v>Low</v>
      </c>
    </row>
    <row r="113" spans="1:9" x14ac:dyDescent="0.35">
      <c r="A113" t="s">
        <v>102</v>
      </c>
      <c r="B113" s="2">
        <v>3640</v>
      </c>
      <c r="C113" s="2">
        <v>4588</v>
      </c>
      <c r="D113" s="1">
        <v>0.21</v>
      </c>
      <c r="E113">
        <v>1</v>
      </c>
      <c r="F113">
        <v>5</v>
      </c>
      <c r="G113" s="2">
        <f t="shared" si="9"/>
        <v>948</v>
      </c>
      <c r="H113" t="str">
        <f t="shared" si="10"/>
        <v>Excellent</v>
      </c>
      <c r="I113" t="str">
        <f t="shared" si="11"/>
        <v>Medium</v>
      </c>
    </row>
    <row r="114" spans="1:9" x14ac:dyDescent="0.35">
      <c r="A114" t="s">
        <v>70</v>
      </c>
      <c r="B114" s="2">
        <v>3750</v>
      </c>
      <c r="C114" s="2">
        <v>6143</v>
      </c>
      <c r="D114" s="1">
        <v>0.39</v>
      </c>
      <c r="E114">
        <v>5</v>
      </c>
      <c r="F114">
        <v>3</v>
      </c>
      <c r="G114" s="2">
        <f t="shared" si="9"/>
        <v>2393</v>
      </c>
      <c r="H114" t="str">
        <f t="shared" si="10"/>
        <v>Average</v>
      </c>
      <c r="I114" t="str">
        <f t="shared" si="11"/>
        <v>Medium</v>
      </c>
    </row>
    <row r="115" spans="1:9" x14ac:dyDescent="0.35">
      <c r="A115" t="s">
        <v>136</v>
      </c>
      <c r="B115" s="2">
        <f>MAX(B113:B114)</f>
        <v>3750</v>
      </c>
      <c r="C115" s="2">
        <f>MAX(C113:C114)</f>
        <v>6143</v>
      </c>
      <c r="D115" s="1">
        <f>MAX(D113:D114)</f>
        <v>0.39</v>
      </c>
      <c r="F115">
        <f>MAX(F113:F113)</f>
        <v>5</v>
      </c>
      <c r="G115">
        <v>0</v>
      </c>
    </row>
    <row r="116" spans="1:9" x14ac:dyDescent="0.35">
      <c r="A116">
        <f>COUNTA(A2:A114)</f>
        <v>112</v>
      </c>
      <c r="D116" s="1">
        <f>AVERAGE(D2:D114)</f>
        <v>0.36726433243555212</v>
      </c>
      <c r="F116">
        <f>AVERAGE(F2:F114)</f>
        <v>3.9025862068965518</v>
      </c>
      <c r="G116">
        <v>0</v>
      </c>
    </row>
    <row r="117" spans="1:9" x14ac:dyDescent="0.35">
      <c r="F117" t="s">
        <v>128</v>
      </c>
      <c r="G117">
        <v>0</v>
      </c>
    </row>
  </sheetData>
  <autoFilter ref="B1:B116" xr:uid="{42BA1527-0AAE-4A04-91FF-01986F8B169F}">
    <sortState xmlns:xlrd2="http://schemas.microsoft.com/office/spreadsheetml/2017/richdata2" ref="A2:J116">
      <sortCondition ref="B1:B116"/>
    </sortState>
  </autoFilter>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68A558-775A-4A45-B7B4-F12C365DC761}">
  <dimension ref="A1"/>
  <sheetViews>
    <sheetView showGridLines="0" tabSelected="1" topLeftCell="B1" zoomScale="50" zoomScaleNormal="50" workbookViewId="0">
      <selection activeCell="W31" sqref="W31"/>
    </sheetView>
  </sheetViews>
  <sheetFormatPr defaultRowHeight="14.5" x14ac:dyDescent="0.35"/>
  <cols>
    <col min="1" max="16384" width="8.7265625" style="6"/>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Q3</vt:lpstr>
      <vt:lpstr>Q4</vt:lpstr>
      <vt:lpstr>Q1</vt:lpstr>
      <vt:lpstr>Q2</vt:lpstr>
      <vt:lpstr>Highest discount</vt:lpstr>
      <vt:lpstr>products with most reviews</vt:lpstr>
      <vt:lpstr>lowest rated</vt:lpstr>
      <vt:lpstr>Sheet3</vt:lpstr>
      <vt:lpstr>Sheet6</vt:lpstr>
      <vt:lpstr>Sheet5</vt:lpstr>
      <vt:lpstr>Excel_jumia (ASSIGNMENT)</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richard muzungu</cp:lastModifiedBy>
  <dcterms:created xsi:type="dcterms:W3CDTF">2026-02-02T06:59:43Z</dcterms:created>
  <dcterms:modified xsi:type="dcterms:W3CDTF">2026-02-20T13:50:57Z</dcterms:modified>
</cp:coreProperties>
</file>